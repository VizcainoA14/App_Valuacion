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VO" sheetId="1" state="visible" r:id="rId3"/>
    <sheet name="VALUAC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<sst xmlns="http://schemas.openxmlformats.org/spreadsheetml/2006/main" count="179" uniqueCount="103">
  <si>
    <t xml:space="preserve">PL-10 - Valuación Técnica de Bienes Muebles</t>
  </si>
  <si>
    <t xml:space="preserve">Paso del proceso</t>
  </si>
  <si>
    <t xml:space="preserve">07 - Valuación técnica de muebles</t>
  </si>
  <si>
    <t xml:space="preserve">Responsable de diligenciar</t>
  </si>
  <si>
    <t xml:space="preserve">Especialista técnico según la clase de activo</t>
  </si>
  <si>
    <t xml:space="preserve">Documento de referencia</t>
  </si>
  <si>
    <t xml:space="preserve">07_VALUACION_TECNICA_DE_MUEBLES.md</t>
  </si>
  <si>
    <t xml:space="preserve">Se convierte en</t>
  </si>
  <si>
    <t xml:space="preserve">EN-07-02 Inventario valorizado por clase</t>
  </si>
  <si>
    <t xml:space="preserve">QUE SE DEBE SOLICITAR ANTES DE DILIGENCIAR</t>
  </si>
  <si>
    <t xml:space="preserve">-</t>
  </si>
  <si>
    <t xml:space="preserve">Saldo por depreciar por bien (PL-09)</t>
  </si>
  <si>
    <t xml:space="preserve">Indice de obsolescencia y estado (PL-08 y PL-03)</t>
  </si>
  <si>
    <t xml:space="preserve">IN-07-03 Cotizaciones de equipos equivalentes nuevos (mínimo tres proveedores)</t>
  </si>
  <si>
    <t xml:space="preserve">IN-07-05 Contratos de dotacion recientes de la E.S.E</t>
  </si>
  <si>
    <t xml:space="preserve">IN-07-06 Concepto técnico de funcionalidad por equipo</t>
  </si>
  <si>
    <t xml:space="preserve">CODIGO DE COLORES</t>
  </si>
  <si>
    <t xml:space="preserve">Celda a diligenciar</t>
  </si>
  <si>
    <t xml:space="preserve">Usted debe escribir aquí.</t>
  </si>
  <si>
    <t xml:space="preserve">Celda calculada</t>
  </si>
  <si>
    <t xml:space="preserve">NO escribir: contiene formula. Se calcula sola.</t>
  </si>
  <si>
    <t xml:space="preserve">Fila de ejemplo</t>
  </si>
  <si>
    <t xml:space="preserve">Muestra el formato esperado. BORRELA antes de usar.</t>
  </si>
  <si>
    <t xml:space="preserve">Parámetro</t>
  </si>
  <si>
    <t xml:space="preserve">Configuracion de la entidad. Definalo una sola vez.</t>
  </si>
  <si>
    <t xml:space="preserve">REGLAS DE DILIGENCIAMIENTO</t>
  </si>
  <si>
    <t xml:space="preserve">El saldo por depreciar es solo REFERENCIA contable: el avalúo no esta obligado a coincidir con el.</t>
  </si>
  <si>
    <t xml:space="preserve">El factor de estado se calcula solo a partir del estado actual (BUENO=1,00 REGULAR=0,75 MALO=0,40 INSERVIBLE=0,05).</t>
  </si>
  <si>
    <t xml:space="preserve">La aplicación SUGIERE un valor; el especialista decide el valor_avaluo_final.</t>
  </si>
  <si>
    <t xml:space="preserve">La justificación técnica es OBLIGATORIA para todos los bienes, incluso si acepta el valor sugerido.</t>
  </si>
  <si>
    <t xml:space="preserve">Bienes propuestos para baja: use metodo VALOR_RESIDUAL_CHATARRA o VALOR_CERO.</t>
  </si>
  <si>
    <t xml:space="preserve">No cambie los nombres de las columnas: la aplicación los usa para importar.</t>
  </si>
  <si>
    <t xml:space="preserve">Fechas en formato AAAA-MM-DD. Valores en pesos, sin puntos ni simbolo $.</t>
  </si>
  <si>
    <t xml:space="preserve">Si un dato no existe, deje la celda vacia. NO escriba cero ni 'NO REGISTRA'.</t>
  </si>
  <si>
    <t xml:space="preserve">Borre la fila de ejemplo antes de entregar el archivo.</t>
  </si>
  <si>
    <t xml:space="preserve">DICCIONARIO DE COLUMNAS</t>
  </si>
  <si>
    <t xml:space="preserve">COLUMNA</t>
  </si>
  <si>
    <t xml:space="preserve">TIPO</t>
  </si>
  <si>
    <t xml:space="preserve">OBLIG.</t>
  </si>
  <si>
    <t xml:space="preserve">DESCRIPCION</t>
  </si>
  <si>
    <t xml:space="preserve">codigo_institucional</t>
  </si>
  <si>
    <t xml:space="preserve">texto</t>
  </si>
  <si>
    <t xml:space="preserve">SI</t>
  </si>
  <si>
    <t xml:space="preserve">placa</t>
  </si>
  <si>
    <t xml:space="preserve">no</t>
  </si>
  <si>
    <t xml:space="preserve">descripcion_bien</t>
  </si>
  <si>
    <t xml:space="preserve">clase_activo</t>
  </si>
  <si>
    <t xml:space="preserve">marca</t>
  </si>
  <si>
    <t xml:space="preserve">modelo</t>
  </si>
  <si>
    <t xml:space="preserve">servicio_ubicacion</t>
  </si>
  <si>
    <t xml:space="preserve">estado_actual</t>
  </si>
  <si>
    <t xml:space="preserve">Determina el factor de estado.</t>
  </si>
  <si>
    <t xml:space="preserve">indice_obsolescencia</t>
  </si>
  <si>
    <t xml:space="preserve">número</t>
  </si>
  <si>
    <t xml:space="preserve">Viene de PL-08.</t>
  </si>
  <si>
    <t xml:space="preserve">saldo_final_ajustado</t>
  </si>
  <si>
    <t xml:space="preserve">moneda</t>
  </si>
  <si>
    <t xml:space="preserve">Viene de PL-09.</t>
  </si>
  <si>
    <t xml:space="preserve">saldo_por_depreciar</t>
  </si>
  <si>
    <t xml:space="preserve">Viene de PL-09. Referencia contable.</t>
  </si>
  <si>
    <t xml:space="preserve">metodo_valuacion</t>
  </si>
  <si>
    <t xml:space="preserve">Ver RN-07-02.</t>
  </si>
  <si>
    <t xml:space="preserve">valor_equipo_nuevo_equivalente</t>
  </si>
  <si>
    <t xml:space="preserve">De las cotizaciones registradas en PL-10b.</t>
  </si>
  <si>
    <t xml:space="preserve">factor_estado</t>
  </si>
  <si>
    <t xml:space="preserve">CALC</t>
  </si>
  <si>
    <t xml:space="preserve">CALCULADO a partir del estado actual.</t>
  </si>
  <si>
    <t xml:space="preserve">factor_vida_restante</t>
  </si>
  <si>
    <t xml:space="preserve">CALCULADO: 1 - indice de obsolescencia, con mínimo en cero.</t>
  </si>
  <si>
    <t xml:space="preserve">valor_avaluo_calculado</t>
  </si>
  <si>
    <t xml:space="preserve">CALCULADO: valor nuevo x factor vida restante x factor estado. Es una SUGERENCIA.</t>
  </si>
  <si>
    <t xml:space="preserve">valor_avaluo_final</t>
  </si>
  <si>
    <t xml:space="preserve">DECISION DEL ESPECIALISTA. Puede diferir del sugerido.</t>
  </si>
  <si>
    <t xml:space="preserve">diferencia_vs_libros</t>
  </si>
  <si>
    <t xml:space="preserve">CALCULADA: avalúo final - saldo por depreciar.</t>
  </si>
  <si>
    <t xml:space="preserve">tipo_ajuste</t>
  </si>
  <si>
    <t xml:space="preserve">CALCULADO.</t>
  </si>
  <si>
    <t xml:space="preserve">justificacion_tecnica</t>
  </si>
  <si>
    <t xml:space="preserve">OBLIGATORIA para todos los bienes.</t>
  </si>
  <si>
    <t xml:space="preserve">especialista</t>
  </si>
  <si>
    <t xml:space="preserve">Quien valua y responde.</t>
  </si>
  <si>
    <t xml:space="preserve">fecha_valuacion</t>
  </si>
  <si>
    <t xml:space="preserve">fecha</t>
  </si>
  <si>
    <t xml:space="preserve">soporte_mercado</t>
  </si>
  <si>
    <t xml:space="preserve">Cotizacion o referencia usada.</t>
  </si>
  <si>
    <t xml:space="preserve">{{ENTIDAD_RAZON_SOCIAL}}</t>
  </si>
  <si>
    <t xml:space="preserve">FECHA DE CORTE:</t>
  </si>
  <si>
    <t xml:space="preserve">{{FECHA_CORTE}}</t>
  </si>
  <si>
    <t xml:space="preserve">SEDE:</t>
  </si>
  <si>
    <t xml:space="preserve">Amarillo = diligenciar   |   Gris = calculado, no escribir   |   Fila 7 = ejemplo, borrela</t>
  </si>
  <si>
    <t xml:space="preserve">HSV01AGM01</t>
  </si>
  <si>
    <t xml:space="preserve">166002008</t>
  </si>
  <si>
    <t xml:space="preserve">AGITADOR DE MAZZINI</t>
  </si>
  <si>
    <t xml:space="preserve">EQUIPO MEDICO CIENTIFICO</t>
  </si>
  <si>
    <t xml:space="preserve">LW SCIENTIFIC</t>
  </si>
  <si>
    <t xml:space="preserve">RTL-BLVD-24T1</t>
  </si>
  <si>
    <t xml:space="preserve">LABORATORIO CLINICO</t>
  </si>
  <si>
    <t xml:space="preserve">BUENO</t>
  </si>
  <si>
    <t xml:space="preserve">COSTO_REPOSICION_DEPRECIADO</t>
  </si>
  <si>
    <t xml:space="preserve">Equipo funcional con 4,6 años de vida útil restante; valor de mercado verificado</t>
  </si>
  <si>
    <t xml:space="preserve">ING. BIOMEDICA - T.P. 12345</t>
  </si>
  <si>
    <t xml:space="preserve">2026-10-05</t>
  </si>
  <si>
    <t xml:space="preserve">cot_agitadores_2026.pdf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</si>
</sst>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"/>
    <numFmt numFmtId="166" formatCode="#,##0"/>
    <numFmt numFmtId="167" formatCode="0.00"/>
    <numFmt numFmtId="168" formatCode="yyyy\-mm\-dd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7E6E6"/>
        <bgColor rgb="FFE2EFDA"/>
      </patternFill>
    </fill>
    <fill>
      <patternFill patternType="solid">
        <fgColor rgb="FFDDEBF7"/>
        <bgColor rgb="FFE7E6E6"/>
      </patternFill>
    </fill>
    <fill>
      <patternFill patternType="solid">
        <fgColor rgb="FFE2EFDA"/>
        <bgColor rgb="FFE7E6E6"/>
      </patternFill>
    </fill>
    <fill>
      <patternFill patternType="solid">
        <fgColor rgb="FF2E5395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548235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8" fontId="1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8" fontId="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78"/>
  </cols>
  <sheetData>
    <row r="2" customFormat="false" ht="17.35" hidden="false" customHeight="false" outlineLevel="0" collapsed="false">
      <c r="B2" s="2" t="s">
        <v>0</v>
      </c>
    </row>
    <row r="4" customFormat="false" ht="15" hidden="false" customHeight="true" outlineLevel="0" collapsed="false">
      <c r="B4" s="3" t="s">
        <v>1</v>
      </c>
      <c r="C4" s="4" t="s">
        <v>2</v>
      </c>
      <c r="D4" s="4"/>
      <c r="E4" s="4"/>
    </row>
    <row r="5" customFormat="false" ht="15" hidden="false" customHeight="true" outlineLevel="0" collapsed="false">
      <c r="B5" s="3" t="s">
        <v>3</v>
      </c>
      <c r="C5" s="4" t="s">
        <v>4</v>
      </c>
      <c r="D5" s="4"/>
      <c r="E5" s="4"/>
    </row>
    <row r="6" customFormat="false" ht="15" hidden="false" customHeight="true" outlineLevel="0" collapsed="false">
      <c r="B6" s="3" t="s">
        <v>5</v>
      </c>
      <c r="C6" s="4" t="s">
        <v>6</v>
      </c>
      <c r="D6" s="4"/>
      <c r="E6" s="4"/>
    </row>
    <row r="7" customFormat="false" ht="15" hidden="false" customHeight="true" outlineLevel="0" collapsed="false">
      <c r="B7" s="3" t="s">
        <v>7</v>
      </c>
      <c r="C7" s="4" t="s">
        <v>8</v>
      </c>
      <c r="D7" s="4"/>
      <c r="E7" s="4"/>
    </row>
    <row r="9" customFormat="false" ht="15" hidden="false" customHeight="false" outlineLevel="0" collapsed="false">
      <c r="B9" s="5" t="s">
        <v>9</v>
      </c>
    </row>
    <row r="10" customFormat="false" ht="15" hidden="false" customHeight="true" outlineLevel="0" collapsed="false">
      <c r="B10" s="6" t="s">
        <v>10</v>
      </c>
      <c r="C10" s="4" t="s">
        <v>11</v>
      </c>
      <c r="D10" s="4"/>
      <c r="E10" s="4"/>
    </row>
    <row r="11" customFormat="false" ht="15" hidden="false" customHeight="true" outlineLevel="0" collapsed="false">
      <c r="B11" s="6" t="s">
        <v>10</v>
      </c>
      <c r="C11" s="4" t="s">
        <v>12</v>
      </c>
      <c r="D11" s="4"/>
      <c r="E11" s="4"/>
    </row>
    <row r="12" customFormat="false" ht="15" hidden="false" customHeight="true" outlineLevel="0" collapsed="false">
      <c r="B12" s="6" t="s">
        <v>10</v>
      </c>
      <c r="C12" s="4" t="s">
        <v>13</v>
      </c>
      <c r="D12" s="4"/>
      <c r="E12" s="4"/>
    </row>
    <row r="13" customFormat="false" ht="15" hidden="false" customHeight="true" outlineLevel="0" collapsed="false">
      <c r="B13" s="6" t="s">
        <v>10</v>
      </c>
      <c r="C13" s="4" t="s">
        <v>14</v>
      </c>
      <c r="D13" s="4"/>
      <c r="E13" s="4"/>
    </row>
    <row r="14" customFormat="false" ht="15" hidden="false" customHeight="true" outlineLevel="0" collapsed="false">
      <c r="B14" s="6" t="s">
        <v>10</v>
      </c>
      <c r="C14" s="4" t="s">
        <v>15</v>
      </c>
      <c r="D14" s="4"/>
      <c r="E14" s="4"/>
    </row>
    <row r="16" customFormat="false" ht="15" hidden="false" customHeight="false" outlineLevel="0" collapsed="false">
      <c r="B16" s="5" t="s">
        <v>16</v>
      </c>
    </row>
    <row r="17" customFormat="false" ht="15" hidden="false" customHeight="false" outlineLevel="0" collapsed="false">
      <c r="B17" s="7" t="s">
        <v>17</v>
      </c>
      <c r="C17" s="8" t="s">
        <v>18</v>
      </c>
      <c r="D17" s="8"/>
      <c r="E17" s="8"/>
    </row>
    <row r="18" customFormat="false" ht="15" hidden="false" customHeight="false" outlineLevel="0" collapsed="false">
      <c r="B18" s="9" t="s">
        <v>19</v>
      </c>
      <c r="C18" s="8" t="s">
        <v>20</v>
      </c>
      <c r="D18" s="8"/>
      <c r="E18" s="8"/>
    </row>
    <row r="19" customFormat="false" ht="15" hidden="false" customHeight="false" outlineLevel="0" collapsed="false">
      <c r="B19" s="10" t="s">
        <v>21</v>
      </c>
      <c r="C19" s="8" t="s">
        <v>22</v>
      </c>
      <c r="D19" s="8"/>
      <c r="E19" s="8"/>
    </row>
    <row r="20" customFormat="false" ht="15" hidden="false" customHeight="false" outlineLevel="0" collapsed="false">
      <c r="B20" s="11" t="s">
        <v>23</v>
      </c>
      <c r="C20" s="8" t="s">
        <v>24</v>
      </c>
      <c r="D20" s="8"/>
      <c r="E20" s="8"/>
    </row>
    <row r="22" customFormat="false" ht="15" hidden="false" customHeight="false" outlineLevel="0" collapsed="false">
      <c r="B22" s="5" t="s">
        <v>25</v>
      </c>
    </row>
    <row r="23" customFormat="false" ht="15" hidden="false" customHeight="true" outlineLevel="0" collapsed="false">
      <c r="B23" s="6" t="s">
        <v>10</v>
      </c>
      <c r="C23" s="4" t="s">
        <v>26</v>
      </c>
      <c r="D23" s="4"/>
      <c r="E23" s="4"/>
    </row>
    <row r="24" customFormat="false" ht="15" hidden="false" customHeight="true" outlineLevel="0" collapsed="false">
      <c r="B24" s="6" t="s">
        <v>10</v>
      </c>
      <c r="C24" s="4" t="s">
        <v>27</v>
      </c>
      <c r="D24" s="4"/>
      <c r="E24" s="4"/>
    </row>
    <row r="25" customFormat="false" ht="15" hidden="false" customHeight="true" outlineLevel="0" collapsed="false">
      <c r="B25" s="6" t="s">
        <v>10</v>
      </c>
      <c r="C25" s="4" t="s">
        <v>28</v>
      </c>
      <c r="D25" s="4"/>
      <c r="E25" s="4"/>
    </row>
    <row r="26" customFormat="false" ht="15" hidden="false" customHeight="true" outlineLevel="0" collapsed="false">
      <c r="B26" s="6" t="s">
        <v>10</v>
      </c>
      <c r="C26" s="4" t="s">
        <v>29</v>
      </c>
      <c r="D26" s="4"/>
      <c r="E26" s="4"/>
    </row>
    <row r="27" customFormat="false" ht="15" hidden="false" customHeight="true" outlineLevel="0" collapsed="false">
      <c r="B27" s="6" t="s">
        <v>10</v>
      </c>
      <c r="C27" s="4" t="s">
        <v>30</v>
      </c>
      <c r="D27" s="4"/>
      <c r="E27" s="4"/>
    </row>
    <row r="28" customFormat="false" ht="15" hidden="false" customHeight="true" outlineLevel="0" collapsed="false">
      <c r="B28" s="6" t="s">
        <v>10</v>
      </c>
      <c r="C28" s="4" t="s">
        <v>31</v>
      </c>
      <c r="D28" s="4"/>
      <c r="E28" s="4"/>
    </row>
    <row r="29" customFormat="false" ht="15" hidden="false" customHeight="true" outlineLevel="0" collapsed="false">
      <c r="B29" s="6" t="s">
        <v>10</v>
      </c>
      <c r="C29" s="4" t="s">
        <v>32</v>
      </c>
      <c r="D29" s="4"/>
      <c r="E29" s="4"/>
    </row>
    <row r="30" customFormat="false" ht="15" hidden="false" customHeight="true" outlineLevel="0" collapsed="false">
      <c r="B30" s="6" t="s">
        <v>10</v>
      </c>
      <c r="C30" s="4" t="s">
        <v>33</v>
      </c>
      <c r="D30" s="4"/>
      <c r="E30" s="4"/>
    </row>
    <row r="31" customFormat="false" ht="15" hidden="false" customHeight="true" outlineLevel="0" collapsed="false">
      <c r="B31" s="6" t="s">
        <v>10</v>
      </c>
      <c r="C31" s="4" t="s">
        <v>34</v>
      </c>
      <c r="D31" s="4"/>
      <c r="E31" s="4"/>
    </row>
    <row r="33" customFormat="false" ht="15" hidden="false" customHeight="false" outlineLevel="0" collapsed="false">
      <c r="B33" s="5" t="s">
        <v>35</v>
      </c>
    </row>
    <row r="34" customFormat="false" ht="15" hidden="false" customHeight="false" outlineLevel="0" collapsed="false">
      <c r="B34" s="12" t="s">
        <v>36</v>
      </c>
      <c r="C34" s="12" t="s">
        <v>37</v>
      </c>
      <c r="D34" s="12" t="s">
        <v>38</v>
      </c>
      <c r="E34" s="12" t="s">
        <v>39</v>
      </c>
    </row>
    <row r="35" customFormat="false" ht="15" hidden="false" customHeight="false" outlineLevel="0" collapsed="false">
      <c r="B35" s="13" t="s">
        <v>40</v>
      </c>
      <c r="C35" s="13" t="s">
        <v>41</v>
      </c>
      <c r="D35" s="14" t="s">
        <v>42</v>
      </c>
      <c r="E35" s="15"/>
    </row>
    <row r="36" customFormat="false" ht="15" hidden="false" customHeight="false" outlineLevel="0" collapsed="false">
      <c r="B36" s="13" t="s">
        <v>43</v>
      </c>
      <c r="C36" s="13" t="s">
        <v>41</v>
      </c>
      <c r="D36" s="16" t="s">
        <v>44</v>
      </c>
      <c r="E36" s="15"/>
    </row>
    <row r="37" customFormat="false" ht="15" hidden="false" customHeight="false" outlineLevel="0" collapsed="false">
      <c r="B37" s="13" t="s">
        <v>45</v>
      </c>
      <c r="C37" s="13" t="s">
        <v>41</v>
      </c>
      <c r="D37" s="14" t="s">
        <v>42</v>
      </c>
      <c r="E37" s="15"/>
    </row>
    <row r="38" customFormat="false" ht="15" hidden="false" customHeight="false" outlineLevel="0" collapsed="false">
      <c r="B38" s="13" t="s">
        <v>46</v>
      </c>
      <c r="C38" s="13" t="s">
        <v>41</v>
      </c>
      <c r="D38" s="14" t="s">
        <v>42</v>
      </c>
      <c r="E38" s="15"/>
    </row>
    <row r="39" customFormat="false" ht="15" hidden="false" customHeight="false" outlineLevel="0" collapsed="false">
      <c r="B39" s="13" t="s">
        <v>47</v>
      </c>
      <c r="C39" s="13" t="s">
        <v>41</v>
      </c>
      <c r="D39" s="16" t="s">
        <v>44</v>
      </c>
      <c r="E39" s="15"/>
    </row>
    <row r="40" customFormat="false" ht="15" hidden="false" customHeight="false" outlineLevel="0" collapsed="false">
      <c r="B40" s="13" t="s">
        <v>48</v>
      </c>
      <c r="C40" s="13" t="s">
        <v>41</v>
      </c>
      <c r="D40" s="16" t="s">
        <v>44</v>
      </c>
      <c r="E40" s="15"/>
    </row>
    <row r="41" customFormat="false" ht="15" hidden="false" customHeight="false" outlineLevel="0" collapsed="false">
      <c r="B41" s="13" t="s">
        <v>49</v>
      </c>
      <c r="C41" s="13" t="s">
        <v>41</v>
      </c>
      <c r="D41" s="14" t="s">
        <v>42</v>
      </c>
      <c r="E41" s="15"/>
    </row>
    <row r="42" customFormat="false" ht="15" hidden="false" customHeight="false" outlineLevel="0" collapsed="false">
      <c r="B42" s="13" t="s">
        <v>50</v>
      </c>
      <c r="C42" s="13" t="s">
        <v>41</v>
      </c>
      <c r="D42" s="14" t="s">
        <v>42</v>
      </c>
      <c r="E42" s="15" t="s">
        <v>51</v>
      </c>
    </row>
    <row r="43" customFormat="false" ht="15" hidden="false" customHeight="false" outlineLevel="0" collapsed="false">
      <c r="B43" s="13" t="s">
        <v>52</v>
      </c>
      <c r="C43" s="13" t="s">
        <v>53</v>
      </c>
      <c r="D43" s="14" t="s">
        <v>42</v>
      </c>
      <c r="E43" s="15" t="s">
        <v>54</v>
      </c>
    </row>
    <row r="44" customFormat="false" ht="15" hidden="false" customHeight="false" outlineLevel="0" collapsed="false">
      <c r="B44" s="13" t="s">
        <v>55</v>
      </c>
      <c r="C44" s="13" t="s">
        <v>56</v>
      </c>
      <c r="D44" s="14" t="s">
        <v>42</v>
      </c>
      <c r="E44" s="15" t="s">
        <v>57</v>
      </c>
    </row>
    <row r="45" customFormat="false" ht="15" hidden="false" customHeight="false" outlineLevel="0" collapsed="false">
      <c r="B45" s="13" t="s">
        <v>58</v>
      </c>
      <c r="C45" s="13" t="s">
        <v>56</v>
      </c>
      <c r="D45" s="14" t="s">
        <v>42</v>
      </c>
      <c r="E45" s="15" t="s">
        <v>59</v>
      </c>
    </row>
    <row r="46" customFormat="false" ht="15" hidden="false" customHeight="false" outlineLevel="0" collapsed="false">
      <c r="B46" s="13" t="s">
        <v>60</v>
      </c>
      <c r="C46" s="13" t="s">
        <v>41</v>
      </c>
      <c r="D46" s="14" t="s">
        <v>42</v>
      </c>
      <c r="E46" s="15" t="s">
        <v>61</v>
      </c>
    </row>
    <row r="47" customFormat="false" ht="15" hidden="false" customHeight="false" outlineLevel="0" collapsed="false">
      <c r="B47" s="13" t="s">
        <v>62</v>
      </c>
      <c r="C47" s="13" t="s">
        <v>56</v>
      </c>
      <c r="D47" s="16" t="s">
        <v>44</v>
      </c>
      <c r="E47" s="15" t="s">
        <v>63</v>
      </c>
    </row>
    <row r="48" customFormat="false" ht="15" hidden="false" customHeight="false" outlineLevel="0" collapsed="false">
      <c r="B48" s="17" t="s">
        <v>64</v>
      </c>
      <c r="C48" s="17" t="s">
        <v>41</v>
      </c>
      <c r="D48" s="18" t="s">
        <v>65</v>
      </c>
      <c r="E48" s="19" t="s">
        <v>66</v>
      </c>
    </row>
    <row r="49" customFormat="false" ht="15" hidden="false" customHeight="false" outlineLevel="0" collapsed="false">
      <c r="B49" s="17" t="s">
        <v>67</v>
      </c>
      <c r="C49" s="17" t="s">
        <v>41</v>
      </c>
      <c r="D49" s="18" t="s">
        <v>65</v>
      </c>
      <c r="E49" s="19" t="s">
        <v>68</v>
      </c>
    </row>
    <row r="50" customFormat="false" ht="15" hidden="false" customHeight="false" outlineLevel="0" collapsed="false">
      <c r="B50" s="17" t="s">
        <v>69</v>
      </c>
      <c r="C50" s="17" t="s">
        <v>41</v>
      </c>
      <c r="D50" s="18" t="s">
        <v>65</v>
      </c>
      <c r="E50" s="19" t="s">
        <v>70</v>
      </c>
    </row>
    <row r="51" customFormat="false" ht="15" hidden="false" customHeight="false" outlineLevel="0" collapsed="false">
      <c r="B51" s="13" t="s">
        <v>71</v>
      </c>
      <c r="C51" s="13" t="s">
        <v>56</v>
      </c>
      <c r="D51" s="14" t="s">
        <v>42</v>
      </c>
      <c r="E51" s="15" t="s">
        <v>72</v>
      </c>
    </row>
    <row r="52" customFormat="false" ht="15" hidden="false" customHeight="false" outlineLevel="0" collapsed="false">
      <c r="B52" s="17" t="s">
        <v>73</v>
      </c>
      <c r="C52" s="17" t="s">
        <v>41</v>
      </c>
      <c r="D52" s="18" t="s">
        <v>65</v>
      </c>
      <c r="E52" s="19" t="s">
        <v>74</v>
      </c>
    </row>
    <row r="53" customFormat="false" ht="15" hidden="false" customHeight="false" outlineLevel="0" collapsed="false">
      <c r="B53" s="17" t="s">
        <v>75</v>
      </c>
      <c r="C53" s="17" t="s">
        <v>41</v>
      </c>
      <c r="D53" s="18" t="s">
        <v>65</v>
      </c>
      <c r="E53" s="19" t="s">
        <v>76</v>
      </c>
    </row>
    <row r="54" customFormat="false" ht="15" hidden="false" customHeight="false" outlineLevel="0" collapsed="false">
      <c r="B54" s="13" t="s">
        <v>77</v>
      </c>
      <c r="C54" s="13" t="s">
        <v>41</v>
      </c>
      <c r="D54" s="14" t="s">
        <v>42</v>
      </c>
      <c r="E54" s="15" t="s">
        <v>78</v>
      </c>
    </row>
    <row r="55" customFormat="false" ht="15" hidden="false" customHeight="false" outlineLevel="0" collapsed="false">
      <c r="B55" s="13" t="s">
        <v>79</v>
      </c>
      <c r="C55" s="13" t="s">
        <v>41</v>
      </c>
      <c r="D55" s="14" t="s">
        <v>42</v>
      </c>
      <c r="E55" s="15" t="s">
        <v>80</v>
      </c>
    </row>
    <row r="56" customFormat="false" ht="15" hidden="false" customHeight="false" outlineLevel="0" collapsed="false">
      <c r="B56" s="13" t="s">
        <v>81</v>
      </c>
      <c r="C56" s="13" t="s">
        <v>82</v>
      </c>
      <c r="D56" s="14" t="s">
        <v>42</v>
      </c>
      <c r="E56" s="15"/>
    </row>
    <row r="57" customFormat="false" ht="15" hidden="false" customHeight="false" outlineLevel="0" collapsed="false">
      <c r="B57" s="13" t="s">
        <v>83</v>
      </c>
      <c r="C57" s="13" t="s">
        <v>41</v>
      </c>
      <c r="D57" s="16" t="s">
        <v>44</v>
      </c>
      <c r="E57" s="15" t="s">
        <v>84</v>
      </c>
    </row>
  </sheetData>
  <mergeCells count="22">
    <mergeCell ref="C4:E4"/>
    <mergeCell ref="C5:E5"/>
    <mergeCell ref="C6:E6"/>
    <mergeCell ref="C7:E7"/>
    <mergeCell ref="C10:E10"/>
    <mergeCell ref="C11:E11"/>
    <mergeCell ref="C12:E12"/>
    <mergeCell ref="C13:E13"/>
    <mergeCell ref="C14:E14"/>
    <mergeCell ref="C17:E17"/>
    <mergeCell ref="C18:E18"/>
    <mergeCell ref="C19:E19"/>
    <mergeCell ref="C20:E20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4" min="4" style="1" width="24"/>
    <col collapsed="false" customWidth="true" hidden="false" outlineLevel="0" max="6" min="5" style="1" width="16"/>
    <col collapsed="false" customWidth="true" hidden="false" outlineLevel="0" max="7" min="7" style="1" width="22"/>
    <col collapsed="false" customWidth="true" hidden="false" outlineLevel="0" max="9" min="8" style="1" width="14"/>
    <col collapsed="false" customWidth="true" hidden="false" outlineLevel="0" max="11" min="10" style="1" width="16"/>
    <col collapsed="false" customWidth="true" hidden="false" outlineLevel="0" max="12" min="12" style="1" width="26"/>
    <col collapsed="false" customWidth="true" hidden="false" outlineLevel="0" max="13" min="13" style="1" width="18"/>
    <col collapsed="false" customWidth="true" hidden="false" outlineLevel="0" max="14" min="14" style="1" width="12"/>
    <col collapsed="false" customWidth="true" hidden="false" outlineLevel="0" max="15" min="15" style="1" width="13"/>
    <col collapsed="false" customWidth="true" hidden="false" outlineLevel="0" max="18" min="16" style="1" width="18"/>
    <col collapsed="false" customWidth="true" hidden="false" outlineLevel="0" max="19" min="19" style="1" width="16"/>
    <col collapsed="false" customWidth="true" hidden="false" outlineLevel="0" max="20" min="20" style="1" width="40"/>
    <col collapsed="false" customWidth="true" hidden="false" outlineLevel="0" max="21" min="21" style="1" width="28"/>
    <col collapsed="false" customWidth="true" hidden="false" outlineLevel="0" max="22" min="22" style="1" width="14"/>
    <col collapsed="false" customWidth="true" hidden="false" outlineLevel="0" max="23" min="23" style="1" width="26"/>
  </cols>
  <sheetData>
    <row r="1" customFormat="false" ht="15" hidden="false" customHeight="false" outlineLevel="0" collapsed="false">
      <c r="A1" s="20" t="s">
        <v>85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customFormat="false" ht="15" hidden="false" customHeight="false" outlineLevel="0" collapsed="false">
      <c r="A2" s="21" t="s">
        <v>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</row>
    <row r="3" customFormat="false" ht="15" hidden="false" customHeight="false" outlineLevel="0" collapsed="false">
      <c r="A3" s="3" t="s">
        <v>86</v>
      </c>
      <c r="B3" s="22" t="s">
        <v>87</v>
      </c>
      <c r="D3" s="3" t="s">
        <v>88</v>
      </c>
      <c r="E3" s="23"/>
    </row>
    <row r="4" customFormat="false" ht="15" hidden="false" customHeight="false" outlineLevel="0" collapsed="false">
      <c r="A4" s="24" t="s">
        <v>89</v>
      </c>
    </row>
    <row r="6" customFormat="false" ht="33.75" hidden="false" customHeight="true" outlineLevel="0" collapsed="false">
      <c r="A6" s="25" t="s">
        <v>40</v>
      </c>
      <c r="B6" s="25" t="s">
        <v>43</v>
      </c>
      <c r="C6" s="25" t="s">
        <v>45</v>
      </c>
      <c r="D6" s="25" t="s">
        <v>46</v>
      </c>
      <c r="E6" s="25" t="s">
        <v>47</v>
      </c>
      <c r="F6" s="25" t="s">
        <v>48</v>
      </c>
      <c r="G6" s="25" t="s">
        <v>49</v>
      </c>
      <c r="H6" s="25" t="s">
        <v>50</v>
      </c>
      <c r="I6" s="25" t="s">
        <v>52</v>
      </c>
      <c r="J6" s="25" t="s">
        <v>55</v>
      </c>
      <c r="K6" s="25" t="s">
        <v>58</v>
      </c>
      <c r="L6" s="25" t="s">
        <v>60</v>
      </c>
      <c r="M6" s="25" t="s">
        <v>62</v>
      </c>
      <c r="N6" s="26" t="s">
        <v>64</v>
      </c>
      <c r="O6" s="26" t="s">
        <v>67</v>
      </c>
      <c r="P6" s="26" t="s">
        <v>69</v>
      </c>
      <c r="Q6" s="25" t="s">
        <v>71</v>
      </c>
      <c r="R6" s="26" t="s">
        <v>73</v>
      </c>
      <c r="S6" s="26" t="s">
        <v>75</v>
      </c>
      <c r="T6" s="25" t="s">
        <v>77</v>
      </c>
      <c r="U6" s="25" t="s">
        <v>79</v>
      </c>
      <c r="V6" s="25" t="s">
        <v>81</v>
      </c>
      <c r="W6" s="25" t="s">
        <v>83</v>
      </c>
    </row>
    <row r="7" customFormat="false" ht="22.35" hidden="false" customHeight="false" outlineLevel="0" collapsed="false">
      <c r="A7" s="27" t="s">
        <v>90</v>
      </c>
      <c r="B7" s="27" t="s">
        <v>91</v>
      </c>
      <c r="C7" s="27" t="s">
        <v>92</v>
      </c>
      <c r="D7" s="27" t="s">
        <v>93</v>
      </c>
      <c r="E7" s="27" t="s">
        <v>94</v>
      </c>
      <c r="F7" s="27" t="s">
        <v>95</v>
      </c>
      <c r="G7" s="27" t="s">
        <v>96</v>
      </c>
      <c r="H7" s="27" t="s">
        <v>97</v>
      </c>
      <c r="I7" s="28" t="n">
        <v>0.6922</v>
      </c>
      <c r="J7" s="29" t="n">
        <v>1788720</v>
      </c>
      <c r="K7" s="29" t="n">
        <v>536616</v>
      </c>
      <c r="L7" s="27" t="s">
        <v>98</v>
      </c>
      <c r="M7" s="29" t="n">
        <v>3500000</v>
      </c>
      <c r="N7" s="30" t="n">
        <f aca="false">IF($H7="","",IF($H7="BUENO",1,IF($H7="REGULAR",0.75,IF($H7="MALO",0.4,0.05))))</f>
        <v>1</v>
      </c>
      <c r="O7" s="28" t="n">
        <f aca="false">IF($I7="","",MAX(0,1-$I7))</f>
        <v>0.3078</v>
      </c>
      <c r="P7" s="29" t="n">
        <f aca="false">IF(OR($M7="",$N7="",$O7=""),"",$M7*$O7*$N7)</f>
        <v>1077300</v>
      </c>
      <c r="Q7" s="29" t="n">
        <v>1078000</v>
      </c>
      <c r="R7" s="29" t="n">
        <f aca="false">IF($Q7="","",$Q7-$K7)</f>
        <v>541384</v>
      </c>
      <c r="S7" s="27" t="str">
        <f aca="false">IF($R7="","",IF($R7&gt;0,"VALORIZACION",IF($R7&lt;0,"DESVALORIZACION","SIN_CAMBIO")))</f>
        <v>VALORIZACION</v>
      </c>
      <c r="T7" s="31" t="s">
        <v>99</v>
      </c>
      <c r="U7" s="27" t="s">
        <v>100</v>
      </c>
      <c r="V7" s="32" t="s">
        <v>101</v>
      </c>
      <c r="W7" s="27" t="s">
        <v>102</v>
      </c>
    </row>
    <row r="8" customFormat="false" ht="15" hidden="false" customHeight="false" outlineLevel="0" collapsed="false">
      <c r="A8" s="33"/>
      <c r="B8" s="33"/>
      <c r="C8" s="33"/>
      <c r="D8" s="33"/>
      <c r="E8" s="33"/>
      <c r="F8" s="33"/>
      <c r="G8" s="33"/>
      <c r="H8" s="33"/>
      <c r="I8" s="34"/>
      <c r="J8" s="35"/>
      <c r="K8" s="35"/>
      <c r="L8" s="33"/>
      <c r="M8" s="35"/>
      <c r="N8" s="36" t="str">
        <f aca="false">IF($H8="","",IF($H8="BUENO",1,IF($H8="REGULAR",0.75,IF($H8="MALO",0.4,0.05))))</f>
        <v/>
      </c>
      <c r="O8" s="37" t="str">
        <f aca="false">IF($I8="","",MAX(0,1-$I8))</f>
        <v/>
      </c>
      <c r="P8" s="38" t="str">
        <f aca="false">IF(OR($M8="",$N8="",$O8=""),"",$M8*$O8*$N8)</f>
        <v/>
      </c>
      <c r="Q8" s="35"/>
      <c r="R8" s="38" t="str">
        <f aca="false">IF($Q8="","",$Q8-$K8)</f>
        <v/>
      </c>
      <c r="S8" s="17" t="str">
        <f aca="false">IF($R8="","",IF($R8&gt;0,"VALORIZACION",IF($R8&lt;0,"DESVALORIZACION","SIN_CAMBIO")))</f>
        <v/>
      </c>
      <c r="T8" s="39"/>
      <c r="U8" s="33"/>
      <c r="V8" s="40"/>
      <c r="W8" s="33"/>
    </row>
    <row r="9" customFormat="false" ht="15" hidden="false" customHeight="false" outlineLevel="0" collapsed="false">
      <c r="A9" s="33"/>
      <c r="B9" s="33"/>
      <c r="C9" s="33"/>
      <c r="D9" s="33"/>
      <c r="E9" s="33"/>
      <c r="F9" s="33"/>
      <c r="G9" s="33"/>
      <c r="H9" s="33"/>
      <c r="I9" s="34"/>
      <c r="J9" s="35"/>
      <c r="K9" s="35"/>
      <c r="L9" s="33"/>
      <c r="M9" s="35"/>
      <c r="N9" s="36" t="str">
        <f aca="false">IF($H9="","",IF($H9="BUENO",1,IF($H9="REGULAR",0.75,IF($H9="MALO",0.4,0.05))))</f>
        <v/>
      </c>
      <c r="O9" s="37" t="str">
        <f aca="false">IF($I9="","",MAX(0,1-$I9))</f>
        <v/>
      </c>
      <c r="P9" s="38" t="str">
        <f aca="false">IF(OR($M9="",$N9="",$O9=""),"",$M9*$O9*$N9)</f>
        <v/>
      </c>
      <c r="Q9" s="35"/>
      <c r="R9" s="38" t="str">
        <f aca="false">IF($Q9="","",$Q9-$K9)</f>
        <v/>
      </c>
      <c r="S9" s="17" t="str">
        <f aca="false">IF($R9="","",IF($R9&gt;0,"VALORIZACION",IF($R9&lt;0,"DESVALORIZACION","SIN_CAMBIO")))</f>
        <v/>
      </c>
      <c r="T9" s="39"/>
      <c r="U9" s="33"/>
      <c r="V9" s="40"/>
      <c r="W9" s="33"/>
    </row>
    <row r="10" customFormat="false" ht="15" hidden="false" customHeight="false" outlineLevel="0" collapsed="false">
      <c r="A10" s="33"/>
      <c r="B10" s="33"/>
      <c r="C10" s="33"/>
      <c r="D10" s="33"/>
      <c r="E10" s="33"/>
      <c r="F10" s="33"/>
      <c r="G10" s="33"/>
      <c r="H10" s="33"/>
      <c r="I10" s="34"/>
      <c r="J10" s="35"/>
      <c r="K10" s="35"/>
      <c r="L10" s="33"/>
      <c r="M10" s="35"/>
      <c r="N10" s="36" t="str">
        <f aca="false">IF($H10="","",IF($H10="BUENO",1,IF($H10="REGULAR",0.75,IF($H10="MALO",0.4,0.05))))</f>
        <v/>
      </c>
      <c r="O10" s="37" t="str">
        <f aca="false">IF($I10="","",MAX(0,1-$I10))</f>
        <v/>
      </c>
      <c r="P10" s="38" t="str">
        <f aca="false">IF(OR($M10="",$N10="",$O10=""),"",$M10*$O10*$N10)</f>
        <v/>
      </c>
      <c r="Q10" s="35"/>
      <c r="R10" s="38" t="str">
        <f aca="false">IF($Q10="","",$Q10-$K10)</f>
        <v/>
      </c>
      <c r="S10" s="17" t="str">
        <f aca="false">IF($R10="","",IF($R10&gt;0,"VALORIZACION",IF($R10&lt;0,"DESVALORIZACION","SIN_CAMBIO")))</f>
        <v/>
      </c>
      <c r="T10" s="39"/>
      <c r="U10" s="33"/>
      <c r="V10" s="40"/>
      <c r="W10" s="33"/>
    </row>
    <row r="11" customFormat="false" ht="15" hidden="false" customHeight="false" outlineLevel="0" collapsed="false">
      <c r="A11" s="33"/>
      <c r="B11" s="33"/>
      <c r="C11" s="33"/>
      <c r="D11" s="33"/>
      <c r="E11" s="33"/>
      <c r="F11" s="33"/>
      <c r="G11" s="33"/>
      <c r="H11" s="33"/>
      <c r="I11" s="34"/>
      <c r="J11" s="35"/>
      <c r="K11" s="35"/>
      <c r="L11" s="33"/>
      <c r="M11" s="35"/>
      <c r="N11" s="36" t="str">
        <f aca="false">IF($H11="","",IF($H11="BUENO",1,IF($H11="REGULAR",0.75,IF($H11="MALO",0.4,0.05))))</f>
        <v/>
      </c>
      <c r="O11" s="37" t="str">
        <f aca="false">IF($I11="","",MAX(0,1-$I11))</f>
        <v/>
      </c>
      <c r="P11" s="38" t="str">
        <f aca="false">IF(OR($M11="",$N11="",$O11=""),"",$M11*$O11*$N11)</f>
        <v/>
      </c>
      <c r="Q11" s="35"/>
      <c r="R11" s="38" t="str">
        <f aca="false">IF($Q11="","",$Q11-$K11)</f>
        <v/>
      </c>
      <c r="S11" s="17" t="str">
        <f aca="false">IF($R11="","",IF($R11&gt;0,"VALORIZACION",IF($R11&lt;0,"DESVALORIZACION","SIN_CAMBIO")))</f>
        <v/>
      </c>
      <c r="T11" s="39"/>
      <c r="U11" s="33"/>
      <c r="V11" s="40"/>
      <c r="W11" s="33"/>
    </row>
    <row r="12" customFormat="false" ht="15" hidden="false" customHeight="false" outlineLevel="0" collapsed="false">
      <c r="A12" s="33"/>
      <c r="B12" s="33"/>
      <c r="C12" s="33"/>
      <c r="D12" s="33"/>
      <c r="E12" s="33"/>
      <c r="F12" s="33"/>
      <c r="G12" s="33"/>
      <c r="H12" s="33"/>
      <c r="I12" s="34"/>
      <c r="J12" s="35"/>
      <c r="K12" s="35"/>
      <c r="L12" s="33"/>
      <c r="M12" s="35"/>
      <c r="N12" s="36" t="str">
        <f aca="false">IF($H12="","",IF($H12="BUENO",1,IF($H12="REGULAR",0.75,IF($H12="MALO",0.4,0.05))))</f>
        <v/>
      </c>
      <c r="O12" s="37" t="str">
        <f aca="false">IF($I12="","",MAX(0,1-$I12))</f>
        <v/>
      </c>
      <c r="P12" s="38" t="str">
        <f aca="false">IF(OR($M12="",$N12="",$O12=""),"",$M12*$O12*$N12)</f>
        <v/>
      </c>
      <c r="Q12" s="35"/>
      <c r="R12" s="38" t="str">
        <f aca="false">IF($Q12="","",$Q12-$K12)</f>
        <v/>
      </c>
      <c r="S12" s="17" t="str">
        <f aca="false">IF($R12="","",IF($R12&gt;0,"VALORIZACION",IF($R12&lt;0,"DESVALORIZACION","SIN_CAMBIO")))</f>
        <v/>
      </c>
      <c r="T12" s="39"/>
      <c r="U12" s="33"/>
      <c r="V12" s="40"/>
      <c r="W12" s="33"/>
    </row>
    <row r="13" customFormat="false" ht="15" hidden="false" customHeight="false" outlineLevel="0" collapsed="false">
      <c r="A13" s="33"/>
      <c r="B13" s="33"/>
      <c r="C13" s="33"/>
      <c r="D13" s="33"/>
      <c r="E13" s="33"/>
      <c r="F13" s="33"/>
      <c r="G13" s="33"/>
      <c r="H13" s="33"/>
      <c r="I13" s="34"/>
      <c r="J13" s="35"/>
      <c r="K13" s="35"/>
      <c r="L13" s="33"/>
      <c r="M13" s="35"/>
      <c r="N13" s="36" t="str">
        <f aca="false">IF($H13="","",IF($H13="BUENO",1,IF($H13="REGULAR",0.75,IF($H13="MALO",0.4,0.05))))</f>
        <v/>
      </c>
      <c r="O13" s="37" t="str">
        <f aca="false">IF($I13="","",MAX(0,1-$I13))</f>
        <v/>
      </c>
      <c r="P13" s="38" t="str">
        <f aca="false">IF(OR($M13="",$N13="",$O13=""),"",$M13*$O13*$N13)</f>
        <v/>
      </c>
      <c r="Q13" s="35"/>
      <c r="R13" s="38" t="str">
        <f aca="false">IF($Q13="","",$Q13-$K13)</f>
        <v/>
      </c>
      <c r="S13" s="17" t="str">
        <f aca="false">IF($R13="","",IF($R13&gt;0,"VALORIZACION",IF($R13&lt;0,"DESVALORIZACION","SIN_CAMBIO")))</f>
        <v/>
      </c>
      <c r="T13" s="39"/>
      <c r="U13" s="33"/>
      <c r="V13" s="40"/>
      <c r="W13" s="33"/>
    </row>
    <row r="14" customFormat="false" ht="15" hidden="false" customHeight="false" outlineLevel="0" collapsed="false">
      <c r="A14" s="33"/>
      <c r="B14" s="33"/>
      <c r="C14" s="33"/>
      <c r="D14" s="33"/>
      <c r="E14" s="33"/>
      <c r="F14" s="33"/>
      <c r="G14" s="33"/>
      <c r="H14" s="33"/>
      <c r="I14" s="34"/>
      <c r="J14" s="35"/>
      <c r="K14" s="35"/>
      <c r="L14" s="33"/>
      <c r="M14" s="35"/>
      <c r="N14" s="36" t="str">
        <f aca="false">IF($H14="","",IF($H14="BUENO",1,IF($H14="REGULAR",0.75,IF($H14="MALO",0.4,0.05))))</f>
        <v/>
      </c>
      <c r="O14" s="37" t="str">
        <f aca="false">IF($I14="","",MAX(0,1-$I14))</f>
        <v/>
      </c>
      <c r="P14" s="38" t="str">
        <f aca="false">IF(OR($M14="",$N14="",$O14=""),"",$M14*$O14*$N14)</f>
        <v/>
      </c>
      <c r="Q14" s="35"/>
      <c r="R14" s="38" t="str">
        <f aca="false">IF($Q14="","",$Q14-$K14)</f>
        <v/>
      </c>
      <c r="S14" s="17" t="str">
        <f aca="false">IF($R14="","",IF($R14&gt;0,"VALORIZACION",IF($R14&lt;0,"DESVALORIZACION","SIN_CAMBIO")))</f>
        <v/>
      </c>
      <c r="T14" s="39"/>
      <c r="U14" s="33"/>
      <c r="V14" s="40"/>
      <c r="W14" s="33"/>
    </row>
    <row r="15" customFormat="false" ht="15" hidden="false" customHeight="false" outlineLevel="0" collapsed="false">
      <c r="A15" s="33"/>
      <c r="B15" s="33"/>
      <c r="C15" s="33"/>
      <c r="D15" s="33"/>
      <c r="E15" s="33"/>
      <c r="F15" s="33"/>
      <c r="G15" s="33"/>
      <c r="H15" s="33"/>
      <c r="I15" s="34"/>
      <c r="J15" s="35"/>
      <c r="K15" s="35"/>
      <c r="L15" s="33"/>
      <c r="M15" s="35"/>
      <c r="N15" s="36" t="str">
        <f aca="false">IF($H15="","",IF($H15="BUENO",1,IF($H15="REGULAR",0.75,IF($H15="MALO",0.4,0.05))))</f>
        <v/>
      </c>
      <c r="O15" s="37" t="str">
        <f aca="false">IF($I15="","",MAX(0,1-$I15))</f>
        <v/>
      </c>
      <c r="P15" s="38" t="str">
        <f aca="false">IF(OR($M15="",$N15="",$O15=""),"",$M15*$O15*$N15)</f>
        <v/>
      </c>
      <c r="Q15" s="35"/>
      <c r="R15" s="38" t="str">
        <f aca="false">IF($Q15="","",$Q15-$K15)</f>
        <v/>
      </c>
      <c r="S15" s="17" t="str">
        <f aca="false">IF($R15="","",IF($R15&gt;0,"VALORIZACION",IF($R15&lt;0,"DESVALORIZACION","SIN_CAMBIO")))</f>
        <v/>
      </c>
      <c r="T15" s="39"/>
      <c r="U15" s="33"/>
      <c r="V15" s="40"/>
      <c r="W15" s="33"/>
    </row>
    <row r="16" customFormat="false" ht="15" hidden="false" customHeight="false" outlineLevel="0" collapsed="false">
      <c r="A16" s="33"/>
      <c r="B16" s="33"/>
      <c r="C16" s="33"/>
      <c r="D16" s="33"/>
      <c r="E16" s="33"/>
      <c r="F16" s="33"/>
      <c r="G16" s="33"/>
      <c r="H16" s="33"/>
      <c r="I16" s="34"/>
      <c r="J16" s="35"/>
      <c r="K16" s="35"/>
      <c r="L16" s="33"/>
      <c r="M16" s="35"/>
      <c r="N16" s="36" t="str">
        <f aca="false">IF($H16="","",IF($H16="BUENO",1,IF($H16="REGULAR",0.75,IF($H16="MALO",0.4,0.05))))</f>
        <v/>
      </c>
      <c r="O16" s="37" t="str">
        <f aca="false">IF($I16="","",MAX(0,1-$I16))</f>
        <v/>
      </c>
      <c r="P16" s="38" t="str">
        <f aca="false">IF(OR($M16="",$N16="",$O16=""),"",$M16*$O16*$N16)</f>
        <v/>
      </c>
      <c r="Q16" s="35"/>
      <c r="R16" s="38" t="str">
        <f aca="false">IF($Q16="","",$Q16-$K16)</f>
        <v/>
      </c>
      <c r="S16" s="17" t="str">
        <f aca="false">IF($R16="","",IF($R16&gt;0,"VALORIZACION",IF($R16&lt;0,"DESVALORIZACION","SIN_CAMBIO")))</f>
        <v/>
      </c>
      <c r="T16" s="39"/>
      <c r="U16" s="33"/>
      <c r="V16" s="40"/>
      <c r="W16" s="33"/>
    </row>
    <row r="17" customFormat="false" ht="15" hidden="false" customHeight="false" outlineLevel="0" collapsed="false">
      <c r="A17" s="33"/>
      <c r="B17" s="33"/>
      <c r="C17" s="33"/>
      <c r="D17" s="33"/>
      <c r="E17" s="33"/>
      <c r="F17" s="33"/>
      <c r="G17" s="33"/>
      <c r="H17" s="33"/>
      <c r="I17" s="34"/>
      <c r="J17" s="35"/>
      <c r="K17" s="35"/>
      <c r="L17" s="33"/>
      <c r="M17" s="35"/>
      <c r="N17" s="36" t="str">
        <f aca="false">IF($H17="","",IF($H17="BUENO",1,IF($H17="REGULAR",0.75,IF($H17="MALO",0.4,0.05))))</f>
        <v/>
      </c>
      <c r="O17" s="37" t="str">
        <f aca="false">IF($I17="","",MAX(0,1-$I17))</f>
        <v/>
      </c>
      <c r="P17" s="38" t="str">
        <f aca="false">IF(OR($M17="",$N17="",$O17=""),"",$M17*$O17*$N17)</f>
        <v/>
      </c>
      <c r="Q17" s="35"/>
      <c r="R17" s="38" t="str">
        <f aca="false">IF($Q17="","",$Q17-$K17)</f>
        <v/>
      </c>
      <c r="S17" s="17" t="str">
        <f aca="false">IF($R17="","",IF($R17&gt;0,"VALORIZACION",IF($R17&lt;0,"DESVALORIZACION","SIN_CAMBIO")))</f>
        <v/>
      </c>
      <c r="T17" s="39"/>
      <c r="U17" s="33"/>
      <c r="V17" s="40"/>
      <c r="W17" s="33"/>
    </row>
    <row r="18" customFormat="false" ht="15" hidden="false" customHeight="false" outlineLevel="0" collapsed="false">
      <c r="A18" s="33"/>
      <c r="B18" s="33"/>
      <c r="C18" s="33"/>
      <c r="D18" s="33"/>
      <c r="E18" s="33"/>
      <c r="F18" s="33"/>
      <c r="G18" s="33"/>
      <c r="H18" s="33"/>
      <c r="I18" s="34"/>
      <c r="J18" s="35"/>
      <c r="K18" s="35"/>
      <c r="L18" s="33"/>
      <c r="M18" s="35"/>
      <c r="N18" s="36" t="str">
        <f aca="false">IF($H18="","",IF($H18="BUENO",1,IF($H18="REGULAR",0.75,IF($H18="MALO",0.4,0.05))))</f>
        <v/>
      </c>
      <c r="O18" s="37" t="str">
        <f aca="false">IF($I18="","",MAX(0,1-$I18))</f>
        <v/>
      </c>
      <c r="P18" s="38" t="str">
        <f aca="false">IF(OR($M18="",$N18="",$O18=""),"",$M18*$O18*$N18)</f>
        <v/>
      </c>
      <c r="Q18" s="35"/>
      <c r="R18" s="38" t="str">
        <f aca="false">IF($Q18="","",$Q18-$K18)</f>
        <v/>
      </c>
      <c r="S18" s="17" t="str">
        <f aca="false">IF($R18="","",IF($R18&gt;0,"VALORIZACION",IF($R18&lt;0,"DESVALORIZACION","SIN_CAMBIO")))</f>
        <v/>
      </c>
      <c r="T18" s="39"/>
      <c r="U18" s="33"/>
      <c r="V18" s="40"/>
      <c r="W18" s="33"/>
    </row>
    <row r="19" customFormat="false" ht="15" hidden="false" customHeight="false" outlineLevel="0" collapsed="false">
      <c r="A19" s="33"/>
      <c r="B19" s="33"/>
      <c r="C19" s="33"/>
      <c r="D19" s="33"/>
      <c r="E19" s="33"/>
      <c r="F19" s="33"/>
      <c r="G19" s="33"/>
      <c r="H19" s="33"/>
      <c r="I19" s="34"/>
      <c r="J19" s="35"/>
      <c r="K19" s="35"/>
      <c r="L19" s="33"/>
      <c r="M19" s="35"/>
      <c r="N19" s="36" t="str">
        <f aca="false">IF($H19="","",IF($H19="BUENO",1,IF($H19="REGULAR",0.75,IF($H19="MALO",0.4,0.05))))</f>
        <v/>
      </c>
      <c r="O19" s="37" t="str">
        <f aca="false">IF($I19="","",MAX(0,1-$I19))</f>
        <v/>
      </c>
      <c r="P19" s="38" t="str">
        <f aca="false">IF(OR($M19="",$N19="",$O19=""),"",$M19*$O19*$N19)</f>
        <v/>
      </c>
      <c r="Q19" s="35"/>
      <c r="R19" s="38" t="str">
        <f aca="false">IF($Q19="","",$Q19-$K19)</f>
        <v/>
      </c>
      <c r="S19" s="17" t="str">
        <f aca="false">IF($R19="","",IF($R19&gt;0,"VALORIZACION",IF($R19&lt;0,"DESVALORIZACION","SIN_CAMBIO")))</f>
        <v/>
      </c>
      <c r="T19" s="39"/>
      <c r="U19" s="33"/>
      <c r="V19" s="40"/>
      <c r="W19" s="33"/>
    </row>
    <row r="20" customFormat="false" ht="15" hidden="false" customHeight="false" outlineLevel="0" collapsed="false">
      <c r="A20" s="33"/>
      <c r="B20" s="33"/>
      <c r="C20" s="33"/>
      <c r="D20" s="33"/>
      <c r="E20" s="33"/>
      <c r="F20" s="33"/>
      <c r="G20" s="33"/>
      <c r="H20" s="33"/>
      <c r="I20" s="34"/>
      <c r="J20" s="35"/>
      <c r="K20" s="35"/>
      <c r="L20" s="33"/>
      <c r="M20" s="35"/>
      <c r="N20" s="36" t="str">
        <f aca="false">IF($H20="","",IF($H20="BUENO",1,IF($H20="REGULAR",0.75,IF($H20="MALO",0.4,0.05))))</f>
        <v/>
      </c>
      <c r="O20" s="37" t="str">
        <f aca="false">IF($I20="","",MAX(0,1-$I20))</f>
        <v/>
      </c>
      <c r="P20" s="38" t="str">
        <f aca="false">IF(OR($M20="",$N20="",$O20=""),"",$M20*$O20*$N20)</f>
        <v/>
      </c>
      <c r="Q20" s="35"/>
      <c r="R20" s="38" t="str">
        <f aca="false">IF($Q20="","",$Q20-$K20)</f>
        <v/>
      </c>
      <c r="S20" s="17" t="str">
        <f aca="false">IF($R20="","",IF($R20&gt;0,"VALORIZACION",IF($R20&lt;0,"DESVALORIZACION","SIN_CAMBIO")))</f>
        <v/>
      </c>
      <c r="T20" s="39"/>
      <c r="U20" s="33"/>
      <c r="V20" s="40"/>
      <c r="W20" s="33"/>
    </row>
    <row r="21" customFormat="false" ht="15" hidden="false" customHeight="false" outlineLevel="0" collapsed="false">
      <c r="A21" s="33"/>
      <c r="B21" s="33"/>
      <c r="C21" s="33"/>
      <c r="D21" s="33"/>
      <c r="E21" s="33"/>
      <c r="F21" s="33"/>
      <c r="G21" s="33"/>
      <c r="H21" s="33"/>
      <c r="I21" s="34"/>
      <c r="J21" s="35"/>
      <c r="K21" s="35"/>
      <c r="L21" s="33"/>
      <c r="M21" s="35"/>
      <c r="N21" s="36" t="str">
        <f aca="false">IF($H21="","",IF($H21="BUENO",1,IF($H21="REGULAR",0.75,IF($H21="MALO",0.4,0.05))))</f>
        <v/>
      </c>
      <c r="O21" s="37" t="str">
        <f aca="false">IF($I21="","",MAX(0,1-$I21))</f>
        <v/>
      </c>
      <c r="P21" s="38" t="str">
        <f aca="false">IF(OR($M21="",$N21="",$O21=""),"",$M21*$O21*$N21)</f>
        <v/>
      </c>
      <c r="Q21" s="35"/>
      <c r="R21" s="38" t="str">
        <f aca="false">IF($Q21="","",$Q21-$K21)</f>
        <v/>
      </c>
      <c r="S21" s="17" t="str">
        <f aca="false">IF($R21="","",IF($R21&gt;0,"VALORIZACION",IF($R21&lt;0,"DESVALORIZACION","SIN_CAMBIO")))</f>
        <v/>
      </c>
      <c r="T21" s="39"/>
      <c r="U21" s="33"/>
      <c r="V21" s="40"/>
      <c r="W21" s="33"/>
    </row>
    <row r="22" customFormat="false" ht="15" hidden="false" customHeight="false" outlineLevel="0" collapsed="false">
      <c r="A22" s="33"/>
      <c r="B22" s="33"/>
      <c r="C22" s="33"/>
      <c r="D22" s="33"/>
      <c r="E22" s="33"/>
      <c r="F22" s="33"/>
      <c r="G22" s="33"/>
      <c r="H22" s="33"/>
      <c r="I22" s="34"/>
      <c r="J22" s="35"/>
      <c r="K22" s="35"/>
      <c r="L22" s="33"/>
      <c r="M22" s="35"/>
      <c r="N22" s="36" t="str">
        <f aca="false">IF($H22="","",IF($H22="BUENO",1,IF($H22="REGULAR",0.75,IF($H22="MALO",0.4,0.05))))</f>
        <v/>
      </c>
      <c r="O22" s="37" t="str">
        <f aca="false">IF($I22="","",MAX(0,1-$I22))</f>
        <v/>
      </c>
      <c r="P22" s="38" t="str">
        <f aca="false">IF(OR($M22="",$N22="",$O22=""),"",$M22*$O22*$N22)</f>
        <v/>
      </c>
      <c r="Q22" s="35"/>
      <c r="R22" s="38" t="str">
        <f aca="false">IF($Q22="","",$Q22-$K22)</f>
        <v/>
      </c>
      <c r="S22" s="17" t="str">
        <f aca="false">IF($R22="","",IF($R22&gt;0,"VALORIZACION",IF($R22&lt;0,"DESVALORIZACION","SIN_CAMBIO")))</f>
        <v/>
      </c>
      <c r="T22" s="39"/>
      <c r="U22" s="33"/>
      <c r="V22" s="40"/>
      <c r="W22" s="33"/>
    </row>
    <row r="23" customFormat="false" ht="15" hidden="false" customHeight="false" outlineLevel="0" collapsed="false">
      <c r="A23" s="33"/>
      <c r="B23" s="33"/>
      <c r="C23" s="33"/>
      <c r="D23" s="33"/>
      <c r="E23" s="33"/>
      <c r="F23" s="33"/>
      <c r="G23" s="33"/>
      <c r="H23" s="33"/>
      <c r="I23" s="34"/>
      <c r="J23" s="35"/>
      <c r="K23" s="35"/>
      <c r="L23" s="33"/>
      <c r="M23" s="35"/>
      <c r="N23" s="36" t="str">
        <f aca="false">IF($H23="","",IF($H23="BUENO",1,IF($H23="REGULAR",0.75,IF($H23="MALO",0.4,0.05))))</f>
        <v/>
      </c>
      <c r="O23" s="37" t="str">
        <f aca="false">IF($I23="","",MAX(0,1-$I23))</f>
        <v/>
      </c>
      <c r="P23" s="38" t="str">
        <f aca="false">IF(OR($M23="",$N23="",$O23=""),"",$M23*$O23*$N23)</f>
        <v/>
      </c>
      <c r="Q23" s="35"/>
      <c r="R23" s="38" t="str">
        <f aca="false">IF($Q23="","",$Q23-$K23)</f>
        <v/>
      </c>
      <c r="S23" s="17" t="str">
        <f aca="false">IF($R23="","",IF($R23&gt;0,"VALORIZACION",IF($R23&lt;0,"DESVALORIZACION","SIN_CAMBIO")))</f>
        <v/>
      </c>
      <c r="T23" s="39"/>
      <c r="U23" s="33"/>
      <c r="V23" s="40"/>
      <c r="W23" s="33"/>
    </row>
    <row r="24" customFormat="false" ht="15" hidden="false" customHeight="false" outlineLevel="0" collapsed="false">
      <c r="A24" s="33"/>
      <c r="B24" s="33"/>
      <c r="C24" s="33"/>
      <c r="D24" s="33"/>
      <c r="E24" s="33"/>
      <c r="F24" s="33"/>
      <c r="G24" s="33"/>
      <c r="H24" s="33"/>
      <c r="I24" s="34"/>
      <c r="J24" s="35"/>
      <c r="K24" s="35"/>
      <c r="L24" s="33"/>
      <c r="M24" s="35"/>
      <c r="N24" s="36" t="str">
        <f aca="false">IF($H24="","",IF($H24="BUENO",1,IF($H24="REGULAR",0.75,IF($H24="MALO",0.4,0.05))))</f>
        <v/>
      </c>
      <c r="O24" s="37" t="str">
        <f aca="false">IF($I24="","",MAX(0,1-$I24))</f>
        <v/>
      </c>
      <c r="P24" s="38" t="str">
        <f aca="false">IF(OR($M24="",$N24="",$O24=""),"",$M24*$O24*$N24)</f>
        <v/>
      </c>
      <c r="Q24" s="35"/>
      <c r="R24" s="38" t="str">
        <f aca="false">IF($Q24="","",$Q24-$K24)</f>
        <v/>
      </c>
      <c r="S24" s="17" t="str">
        <f aca="false">IF($R24="","",IF($R24&gt;0,"VALORIZACION",IF($R24&lt;0,"DESVALORIZACION","SIN_CAMBIO")))</f>
        <v/>
      </c>
      <c r="T24" s="39"/>
      <c r="U24" s="33"/>
      <c r="V24" s="40"/>
      <c r="W24" s="33"/>
    </row>
    <row r="25" customFormat="false" ht="15" hidden="false" customHeight="false" outlineLevel="0" collapsed="false">
      <c r="A25" s="33"/>
      <c r="B25" s="33"/>
      <c r="C25" s="33"/>
      <c r="D25" s="33"/>
      <c r="E25" s="33"/>
      <c r="F25" s="33"/>
      <c r="G25" s="33"/>
      <c r="H25" s="33"/>
      <c r="I25" s="34"/>
      <c r="J25" s="35"/>
      <c r="K25" s="35"/>
      <c r="L25" s="33"/>
      <c r="M25" s="35"/>
      <c r="N25" s="36" t="str">
        <f aca="false">IF($H25="","",IF($H25="BUENO",1,IF($H25="REGULAR",0.75,IF($H25="MALO",0.4,0.05))))</f>
        <v/>
      </c>
      <c r="O25" s="37" t="str">
        <f aca="false">IF($I25="","",MAX(0,1-$I25))</f>
        <v/>
      </c>
      <c r="P25" s="38" t="str">
        <f aca="false">IF(OR($M25="",$N25="",$O25=""),"",$M25*$O25*$N25)</f>
        <v/>
      </c>
      <c r="Q25" s="35"/>
      <c r="R25" s="38" t="str">
        <f aca="false">IF($Q25="","",$Q25-$K25)</f>
        <v/>
      </c>
      <c r="S25" s="17" t="str">
        <f aca="false">IF($R25="","",IF($R25&gt;0,"VALORIZACION",IF($R25&lt;0,"DESVALORIZACION","SIN_CAMBIO")))</f>
        <v/>
      </c>
      <c r="T25" s="39"/>
      <c r="U25" s="33"/>
      <c r="V25" s="40"/>
      <c r="W25" s="33"/>
    </row>
    <row r="26" customFormat="false" ht="15" hidden="false" customHeight="false" outlineLevel="0" collapsed="false">
      <c r="A26" s="33"/>
      <c r="B26" s="33"/>
      <c r="C26" s="33"/>
      <c r="D26" s="33"/>
      <c r="E26" s="33"/>
      <c r="F26" s="33"/>
      <c r="G26" s="33"/>
      <c r="H26" s="33"/>
      <c r="I26" s="34"/>
      <c r="J26" s="35"/>
      <c r="K26" s="35"/>
      <c r="L26" s="33"/>
      <c r="M26" s="35"/>
      <c r="N26" s="36" t="str">
        <f aca="false">IF($H26="","",IF($H26="BUENO",1,IF($H26="REGULAR",0.75,IF($H26="MALO",0.4,0.05))))</f>
        <v/>
      </c>
      <c r="O26" s="37" t="str">
        <f aca="false">IF($I26="","",MAX(0,1-$I26))</f>
        <v/>
      </c>
      <c r="P26" s="38" t="str">
        <f aca="false">IF(OR($M26="",$N26="",$O26=""),"",$M26*$O26*$N26)</f>
        <v/>
      </c>
      <c r="Q26" s="35"/>
      <c r="R26" s="38" t="str">
        <f aca="false">IF($Q26="","",$Q26-$K26)</f>
        <v/>
      </c>
      <c r="S26" s="17" t="str">
        <f aca="false">IF($R26="","",IF($R26&gt;0,"VALORIZACION",IF($R26&lt;0,"DESVALORIZACION","SIN_CAMBIO")))</f>
        <v/>
      </c>
      <c r="T26" s="39"/>
      <c r="U26" s="33"/>
      <c r="V26" s="40"/>
      <c r="W26" s="33"/>
    </row>
    <row r="27" customFormat="false" ht="15" hidden="false" customHeight="false" outlineLevel="0" collapsed="false">
      <c r="A27" s="33"/>
      <c r="B27" s="33"/>
      <c r="C27" s="33"/>
      <c r="D27" s="33"/>
      <c r="E27" s="33"/>
      <c r="F27" s="33"/>
      <c r="G27" s="33"/>
      <c r="H27" s="33"/>
      <c r="I27" s="34"/>
      <c r="J27" s="35"/>
      <c r="K27" s="35"/>
      <c r="L27" s="33"/>
      <c r="M27" s="35"/>
      <c r="N27" s="36" t="str">
        <f aca="false">IF($H27="","",IF($H27="BUENO",1,IF($H27="REGULAR",0.75,IF($H27="MALO",0.4,0.05))))</f>
        <v/>
      </c>
      <c r="O27" s="37" t="str">
        <f aca="false">IF($I27="","",MAX(0,1-$I27))</f>
        <v/>
      </c>
      <c r="P27" s="38" t="str">
        <f aca="false">IF(OR($M27="",$N27="",$O27=""),"",$M27*$O27*$N27)</f>
        <v/>
      </c>
      <c r="Q27" s="35"/>
      <c r="R27" s="38" t="str">
        <f aca="false">IF($Q27="","",$Q27-$K27)</f>
        <v/>
      </c>
      <c r="S27" s="17" t="str">
        <f aca="false">IF($R27="","",IF($R27&gt;0,"VALORIZACION",IF($R27&lt;0,"DESVALORIZACION","SIN_CAMBIO")))</f>
        <v/>
      </c>
      <c r="T27" s="39"/>
      <c r="U27" s="33"/>
      <c r="V27" s="40"/>
      <c r="W27" s="33"/>
    </row>
    <row r="28" customFormat="false" ht="15" hidden="false" customHeight="false" outlineLevel="0" collapsed="false">
      <c r="A28" s="33"/>
      <c r="B28" s="33"/>
      <c r="C28" s="33"/>
      <c r="D28" s="33"/>
      <c r="E28" s="33"/>
      <c r="F28" s="33"/>
      <c r="G28" s="33"/>
      <c r="H28" s="33"/>
      <c r="I28" s="34"/>
      <c r="J28" s="35"/>
      <c r="K28" s="35"/>
      <c r="L28" s="33"/>
      <c r="M28" s="35"/>
      <c r="N28" s="36" t="str">
        <f aca="false">IF($H28="","",IF($H28="BUENO",1,IF($H28="REGULAR",0.75,IF($H28="MALO",0.4,0.05))))</f>
        <v/>
      </c>
      <c r="O28" s="37" t="str">
        <f aca="false">IF($I28="","",MAX(0,1-$I28))</f>
        <v/>
      </c>
      <c r="P28" s="38" t="str">
        <f aca="false">IF(OR($M28="",$N28="",$O28=""),"",$M28*$O28*$N28)</f>
        <v/>
      </c>
      <c r="Q28" s="35"/>
      <c r="R28" s="38" t="str">
        <f aca="false">IF($Q28="","",$Q28-$K28)</f>
        <v/>
      </c>
      <c r="S28" s="17" t="str">
        <f aca="false">IF($R28="","",IF($R28&gt;0,"VALORIZACION",IF($R28&lt;0,"DESVALORIZACION","SIN_CAMBIO")))</f>
        <v/>
      </c>
      <c r="T28" s="39"/>
      <c r="U28" s="33"/>
      <c r="V28" s="40"/>
      <c r="W28" s="33"/>
    </row>
    <row r="29" customFormat="false" ht="15" hidden="false" customHeight="false" outlineLevel="0" collapsed="false">
      <c r="A29" s="33"/>
      <c r="B29" s="33"/>
      <c r="C29" s="33"/>
      <c r="D29" s="33"/>
      <c r="E29" s="33"/>
      <c r="F29" s="33"/>
      <c r="G29" s="33"/>
      <c r="H29" s="33"/>
      <c r="I29" s="34"/>
      <c r="J29" s="35"/>
      <c r="K29" s="35"/>
      <c r="L29" s="33"/>
      <c r="M29" s="35"/>
      <c r="N29" s="36" t="str">
        <f aca="false">IF($H29="","",IF($H29="BUENO",1,IF($H29="REGULAR",0.75,IF($H29="MALO",0.4,0.05))))</f>
        <v/>
      </c>
      <c r="O29" s="37" t="str">
        <f aca="false">IF($I29="","",MAX(0,1-$I29))</f>
        <v/>
      </c>
      <c r="P29" s="38" t="str">
        <f aca="false">IF(OR($M29="",$N29="",$O29=""),"",$M29*$O29*$N29)</f>
        <v/>
      </c>
      <c r="Q29" s="35"/>
      <c r="R29" s="38" t="str">
        <f aca="false">IF($Q29="","",$Q29-$K29)</f>
        <v/>
      </c>
      <c r="S29" s="17" t="str">
        <f aca="false">IF($R29="","",IF($R29&gt;0,"VALORIZACION",IF($R29&lt;0,"DESVALORIZACION","SIN_CAMBIO")))</f>
        <v/>
      </c>
      <c r="T29" s="39"/>
      <c r="U29" s="33"/>
      <c r="V29" s="40"/>
      <c r="W29" s="33"/>
    </row>
    <row r="30" customFormat="false" ht="15" hidden="false" customHeight="false" outlineLevel="0" collapsed="false">
      <c r="A30" s="33"/>
      <c r="B30" s="33"/>
      <c r="C30" s="33"/>
      <c r="D30" s="33"/>
      <c r="E30" s="33"/>
      <c r="F30" s="33"/>
      <c r="G30" s="33"/>
      <c r="H30" s="33"/>
      <c r="I30" s="34"/>
      <c r="J30" s="35"/>
      <c r="K30" s="35"/>
      <c r="L30" s="33"/>
      <c r="M30" s="35"/>
      <c r="N30" s="36" t="str">
        <f aca="false">IF($H30="","",IF($H30="BUENO",1,IF($H30="REGULAR",0.75,IF($H30="MALO",0.4,0.05))))</f>
        <v/>
      </c>
      <c r="O30" s="37" t="str">
        <f aca="false">IF($I30="","",MAX(0,1-$I30))</f>
        <v/>
      </c>
      <c r="P30" s="38" t="str">
        <f aca="false">IF(OR($M30="",$N30="",$O30=""),"",$M30*$O30*$N30)</f>
        <v/>
      </c>
      <c r="Q30" s="35"/>
      <c r="R30" s="38" t="str">
        <f aca="false">IF($Q30="","",$Q30-$K30)</f>
        <v/>
      </c>
      <c r="S30" s="17" t="str">
        <f aca="false">IF($R30="","",IF($R30&gt;0,"VALORIZACION",IF($R30&lt;0,"DESVALORIZACION","SIN_CAMBIO")))</f>
        <v/>
      </c>
      <c r="T30" s="39"/>
      <c r="U30" s="33"/>
      <c r="V30" s="40"/>
      <c r="W30" s="33"/>
    </row>
    <row r="31" customFormat="false" ht="15" hidden="false" customHeight="false" outlineLevel="0" collapsed="false">
      <c r="A31" s="33"/>
      <c r="B31" s="33"/>
      <c r="C31" s="33"/>
      <c r="D31" s="33"/>
      <c r="E31" s="33"/>
      <c r="F31" s="33"/>
      <c r="G31" s="33"/>
      <c r="H31" s="33"/>
      <c r="I31" s="34"/>
      <c r="J31" s="35"/>
      <c r="K31" s="35"/>
      <c r="L31" s="33"/>
      <c r="M31" s="35"/>
      <c r="N31" s="36" t="str">
        <f aca="false">IF($H31="","",IF($H31="BUENO",1,IF($H31="REGULAR",0.75,IF($H31="MALO",0.4,0.05))))</f>
        <v/>
      </c>
      <c r="O31" s="37" t="str">
        <f aca="false">IF($I31="","",MAX(0,1-$I31))</f>
        <v/>
      </c>
      <c r="P31" s="38" t="str">
        <f aca="false">IF(OR($M31="",$N31="",$O31=""),"",$M31*$O31*$N31)</f>
        <v/>
      </c>
      <c r="Q31" s="35"/>
      <c r="R31" s="38" t="str">
        <f aca="false">IF($Q31="","",$Q31-$K31)</f>
        <v/>
      </c>
      <c r="S31" s="17" t="str">
        <f aca="false">IF($R31="","",IF($R31&gt;0,"VALORIZACION",IF($R31&lt;0,"DESVALORIZACION","SIN_CAMBIO")))</f>
        <v/>
      </c>
      <c r="T31" s="39"/>
      <c r="U31" s="33"/>
      <c r="V31" s="40"/>
      <c r="W31" s="33"/>
    </row>
    <row r="32" customFormat="false" ht="15" hidden="false" customHeight="false" outlineLevel="0" collapsed="false">
      <c r="A32" s="33"/>
      <c r="B32" s="33"/>
      <c r="C32" s="33"/>
      <c r="D32" s="33"/>
      <c r="E32" s="33"/>
      <c r="F32" s="33"/>
      <c r="G32" s="33"/>
      <c r="H32" s="33"/>
      <c r="I32" s="34"/>
      <c r="J32" s="35"/>
      <c r="K32" s="35"/>
      <c r="L32" s="33"/>
      <c r="M32" s="35"/>
      <c r="N32" s="36" t="str">
        <f aca="false">IF($H32="","",IF($H32="BUENO",1,IF($H32="REGULAR",0.75,IF($H32="MALO",0.4,0.05))))</f>
        <v/>
      </c>
      <c r="O32" s="37" t="str">
        <f aca="false">IF($I32="","",MAX(0,1-$I32))</f>
        <v/>
      </c>
      <c r="P32" s="38" t="str">
        <f aca="false">IF(OR($M32="",$N32="",$O32=""),"",$M32*$O32*$N32)</f>
        <v/>
      </c>
      <c r="Q32" s="35"/>
      <c r="R32" s="38" t="str">
        <f aca="false">IF($Q32="","",$Q32-$K32)</f>
        <v/>
      </c>
      <c r="S32" s="17" t="str">
        <f aca="false">IF($R32="","",IF($R32&gt;0,"VALORIZACION",IF($R32&lt;0,"DESVALORIZACION","SIN_CAMBIO")))</f>
        <v/>
      </c>
      <c r="T32" s="39"/>
      <c r="U32" s="33"/>
      <c r="V32" s="40"/>
      <c r="W32" s="33"/>
    </row>
    <row r="33" customFormat="false" ht="15" hidden="false" customHeight="false" outlineLevel="0" collapsed="false">
      <c r="A33" s="33"/>
      <c r="B33" s="33"/>
      <c r="C33" s="33"/>
      <c r="D33" s="33"/>
      <c r="E33" s="33"/>
      <c r="F33" s="33"/>
      <c r="G33" s="33"/>
      <c r="H33" s="33"/>
      <c r="I33" s="34"/>
      <c r="J33" s="35"/>
      <c r="K33" s="35"/>
      <c r="L33" s="33"/>
      <c r="M33" s="35"/>
      <c r="N33" s="36" t="str">
        <f aca="false">IF($H33="","",IF($H33="BUENO",1,IF($H33="REGULAR",0.75,IF($H33="MALO",0.4,0.05))))</f>
        <v/>
      </c>
      <c r="O33" s="37" t="str">
        <f aca="false">IF($I33="","",MAX(0,1-$I33))</f>
        <v/>
      </c>
      <c r="P33" s="38" t="str">
        <f aca="false">IF(OR($M33="",$N33="",$O33=""),"",$M33*$O33*$N33)</f>
        <v/>
      </c>
      <c r="Q33" s="35"/>
      <c r="R33" s="38" t="str">
        <f aca="false">IF($Q33="","",$Q33-$K33)</f>
        <v/>
      </c>
      <c r="S33" s="17" t="str">
        <f aca="false">IF($R33="","",IF($R33&gt;0,"VALORIZACION",IF($R33&lt;0,"DESVALORIZACION","SIN_CAMBIO")))</f>
        <v/>
      </c>
      <c r="T33" s="39"/>
      <c r="U33" s="33"/>
      <c r="V33" s="40"/>
      <c r="W33" s="33"/>
    </row>
    <row r="34" customFormat="false" ht="15" hidden="false" customHeight="false" outlineLevel="0" collapsed="false">
      <c r="A34" s="33"/>
      <c r="B34" s="33"/>
      <c r="C34" s="33"/>
      <c r="D34" s="33"/>
      <c r="E34" s="33"/>
      <c r="F34" s="33"/>
      <c r="G34" s="33"/>
      <c r="H34" s="33"/>
      <c r="I34" s="34"/>
      <c r="J34" s="35"/>
      <c r="K34" s="35"/>
      <c r="L34" s="33"/>
      <c r="M34" s="35"/>
      <c r="N34" s="36" t="str">
        <f aca="false">IF($H34="","",IF($H34="BUENO",1,IF($H34="REGULAR",0.75,IF($H34="MALO",0.4,0.05))))</f>
        <v/>
      </c>
      <c r="O34" s="37" t="str">
        <f aca="false">IF($I34="","",MAX(0,1-$I34))</f>
        <v/>
      </c>
      <c r="P34" s="38" t="str">
        <f aca="false">IF(OR($M34="",$N34="",$O34=""),"",$M34*$O34*$N34)</f>
        <v/>
      </c>
      <c r="Q34" s="35"/>
      <c r="R34" s="38" t="str">
        <f aca="false">IF($Q34="","",$Q34-$K34)</f>
        <v/>
      </c>
      <c r="S34" s="17" t="str">
        <f aca="false">IF($R34="","",IF($R34&gt;0,"VALORIZACION",IF($R34&lt;0,"DESVALORIZACION","SIN_CAMBIO")))</f>
        <v/>
      </c>
      <c r="T34" s="39"/>
      <c r="U34" s="33"/>
      <c r="V34" s="40"/>
      <c r="W34" s="33"/>
    </row>
    <row r="35" customFormat="false" ht="15" hidden="false" customHeight="false" outlineLevel="0" collapsed="false">
      <c r="A35" s="33"/>
      <c r="B35" s="33"/>
      <c r="C35" s="33"/>
      <c r="D35" s="33"/>
      <c r="E35" s="33"/>
      <c r="F35" s="33"/>
      <c r="G35" s="33"/>
      <c r="H35" s="33"/>
      <c r="I35" s="34"/>
      <c r="J35" s="35"/>
      <c r="K35" s="35"/>
      <c r="L35" s="33"/>
      <c r="M35" s="35"/>
      <c r="N35" s="36" t="str">
        <f aca="false">IF($H35="","",IF($H35="BUENO",1,IF($H35="REGULAR",0.75,IF($H35="MALO",0.4,0.05))))</f>
        <v/>
      </c>
      <c r="O35" s="37" t="str">
        <f aca="false">IF($I35="","",MAX(0,1-$I35))</f>
        <v/>
      </c>
      <c r="P35" s="38" t="str">
        <f aca="false">IF(OR($M35="",$N35="",$O35=""),"",$M35*$O35*$N35)</f>
        <v/>
      </c>
      <c r="Q35" s="35"/>
      <c r="R35" s="38" t="str">
        <f aca="false">IF($Q35="","",$Q35-$K35)</f>
        <v/>
      </c>
      <c r="S35" s="17" t="str">
        <f aca="false">IF($R35="","",IF($R35&gt;0,"VALORIZACION",IF($R35&lt;0,"DESVALORIZACION","SIN_CAMBIO")))</f>
        <v/>
      </c>
      <c r="T35" s="39"/>
      <c r="U35" s="33"/>
      <c r="V35" s="40"/>
      <c r="W35" s="33"/>
    </row>
    <row r="36" customFormat="false" ht="15" hidden="false" customHeight="false" outlineLevel="0" collapsed="false">
      <c r="A36" s="33"/>
      <c r="B36" s="33"/>
      <c r="C36" s="33"/>
      <c r="D36" s="33"/>
      <c r="E36" s="33"/>
      <c r="F36" s="33"/>
      <c r="G36" s="33"/>
      <c r="H36" s="33"/>
      <c r="I36" s="34"/>
      <c r="J36" s="35"/>
      <c r="K36" s="35"/>
      <c r="L36" s="33"/>
      <c r="M36" s="35"/>
      <c r="N36" s="36" t="str">
        <f aca="false">IF($H36="","",IF($H36="BUENO",1,IF($H36="REGULAR",0.75,IF($H36="MALO",0.4,0.05))))</f>
        <v/>
      </c>
      <c r="O36" s="37" t="str">
        <f aca="false">IF($I36="","",MAX(0,1-$I36))</f>
        <v/>
      </c>
      <c r="P36" s="38" t="str">
        <f aca="false">IF(OR($M36="",$N36="",$O36=""),"",$M36*$O36*$N36)</f>
        <v/>
      </c>
      <c r="Q36" s="35"/>
      <c r="R36" s="38" t="str">
        <f aca="false">IF($Q36="","",$Q36-$K36)</f>
        <v/>
      </c>
      <c r="S36" s="17" t="str">
        <f aca="false">IF($R36="","",IF($R36&gt;0,"VALORIZACION",IF($R36&lt;0,"DESVALORIZACION","SIN_CAMBIO")))</f>
        <v/>
      </c>
      <c r="T36" s="39"/>
      <c r="U36" s="33"/>
      <c r="V36" s="40"/>
      <c r="W36" s="33"/>
    </row>
    <row r="37" customFormat="false" ht="15" hidden="false" customHeight="false" outlineLevel="0" collapsed="false">
      <c r="A37" s="33"/>
      <c r="B37" s="33"/>
      <c r="C37" s="33"/>
      <c r="D37" s="33"/>
      <c r="E37" s="33"/>
      <c r="F37" s="33"/>
      <c r="G37" s="33"/>
      <c r="H37" s="33"/>
      <c r="I37" s="34"/>
      <c r="J37" s="35"/>
      <c r="K37" s="35"/>
      <c r="L37" s="33"/>
      <c r="M37" s="35"/>
      <c r="N37" s="36" t="str">
        <f aca="false">IF($H37="","",IF($H37="BUENO",1,IF($H37="REGULAR",0.75,IF($H37="MALO",0.4,0.05))))</f>
        <v/>
      </c>
      <c r="O37" s="37" t="str">
        <f aca="false">IF($I37="","",MAX(0,1-$I37))</f>
        <v/>
      </c>
      <c r="P37" s="38" t="str">
        <f aca="false">IF(OR($M37="",$N37="",$O37=""),"",$M37*$O37*$N37)</f>
        <v/>
      </c>
      <c r="Q37" s="35"/>
      <c r="R37" s="38" t="str">
        <f aca="false">IF($Q37="","",$Q37-$K37)</f>
        <v/>
      </c>
      <c r="S37" s="17" t="str">
        <f aca="false">IF($R37="","",IF($R37&gt;0,"VALORIZACION",IF($R37&lt;0,"DESVALORIZACION","SIN_CAMBIO")))</f>
        <v/>
      </c>
      <c r="T37" s="39"/>
      <c r="U37" s="33"/>
      <c r="V37" s="40"/>
      <c r="W37" s="33"/>
    </row>
    <row r="38" customFormat="false" ht="15" hidden="false" customHeight="false" outlineLevel="0" collapsed="false">
      <c r="A38" s="33"/>
      <c r="B38" s="33"/>
      <c r="C38" s="33"/>
      <c r="D38" s="33"/>
      <c r="E38" s="33"/>
      <c r="F38" s="33"/>
      <c r="G38" s="33"/>
      <c r="H38" s="33"/>
      <c r="I38" s="34"/>
      <c r="J38" s="35"/>
      <c r="K38" s="35"/>
      <c r="L38" s="33"/>
      <c r="M38" s="35"/>
      <c r="N38" s="36" t="str">
        <f aca="false">IF($H38="","",IF($H38="BUENO",1,IF($H38="REGULAR",0.75,IF($H38="MALO",0.4,0.05))))</f>
        <v/>
      </c>
      <c r="O38" s="37" t="str">
        <f aca="false">IF($I38="","",MAX(0,1-$I38))</f>
        <v/>
      </c>
      <c r="P38" s="38" t="str">
        <f aca="false">IF(OR($M38="",$N38="",$O38=""),"",$M38*$O38*$N38)</f>
        <v/>
      </c>
      <c r="Q38" s="35"/>
      <c r="R38" s="38" t="str">
        <f aca="false">IF($Q38="","",$Q38-$K38)</f>
        <v/>
      </c>
      <c r="S38" s="17" t="str">
        <f aca="false">IF($R38="","",IF($R38&gt;0,"VALORIZACION",IF($R38&lt;0,"DESVALORIZACION","SIN_CAMBIO")))</f>
        <v/>
      </c>
      <c r="T38" s="39"/>
      <c r="U38" s="33"/>
      <c r="V38" s="40"/>
      <c r="W38" s="33"/>
    </row>
    <row r="39" customFormat="false" ht="15" hidden="false" customHeight="false" outlineLevel="0" collapsed="false">
      <c r="A39" s="33"/>
      <c r="B39" s="33"/>
      <c r="C39" s="33"/>
      <c r="D39" s="33"/>
      <c r="E39" s="33"/>
      <c r="F39" s="33"/>
      <c r="G39" s="33"/>
      <c r="H39" s="33"/>
      <c r="I39" s="34"/>
      <c r="J39" s="35"/>
      <c r="K39" s="35"/>
      <c r="L39" s="33"/>
      <c r="M39" s="35"/>
      <c r="N39" s="36" t="str">
        <f aca="false">IF($H39="","",IF($H39="BUENO",1,IF($H39="REGULAR",0.75,IF($H39="MALO",0.4,0.05))))</f>
        <v/>
      </c>
      <c r="O39" s="37" t="str">
        <f aca="false">IF($I39="","",MAX(0,1-$I39))</f>
        <v/>
      </c>
      <c r="P39" s="38" t="str">
        <f aca="false">IF(OR($M39="",$N39="",$O39=""),"",$M39*$O39*$N39)</f>
        <v/>
      </c>
      <c r="Q39" s="35"/>
      <c r="R39" s="38" t="str">
        <f aca="false">IF($Q39="","",$Q39-$K39)</f>
        <v/>
      </c>
      <c r="S39" s="17" t="str">
        <f aca="false">IF($R39="","",IF($R39&gt;0,"VALORIZACION",IF($R39&lt;0,"DESVALORIZACION","SIN_CAMBIO")))</f>
        <v/>
      </c>
      <c r="T39" s="39"/>
      <c r="U39" s="33"/>
      <c r="V39" s="40"/>
      <c r="W39" s="33"/>
    </row>
    <row r="40" customFormat="false" ht="15" hidden="false" customHeight="false" outlineLevel="0" collapsed="false">
      <c r="A40" s="33"/>
      <c r="B40" s="33"/>
      <c r="C40" s="33"/>
      <c r="D40" s="33"/>
      <c r="E40" s="33"/>
      <c r="F40" s="33"/>
      <c r="G40" s="33"/>
      <c r="H40" s="33"/>
      <c r="I40" s="34"/>
      <c r="J40" s="35"/>
      <c r="K40" s="35"/>
      <c r="L40" s="33"/>
      <c r="M40" s="35"/>
      <c r="N40" s="36" t="str">
        <f aca="false">IF($H40="","",IF($H40="BUENO",1,IF($H40="REGULAR",0.75,IF($H40="MALO",0.4,0.05))))</f>
        <v/>
      </c>
      <c r="O40" s="37" t="str">
        <f aca="false">IF($I40="","",MAX(0,1-$I40))</f>
        <v/>
      </c>
      <c r="P40" s="38" t="str">
        <f aca="false">IF(OR($M40="",$N40="",$O40=""),"",$M40*$O40*$N40)</f>
        <v/>
      </c>
      <c r="Q40" s="35"/>
      <c r="R40" s="38" t="str">
        <f aca="false">IF($Q40="","",$Q40-$K40)</f>
        <v/>
      </c>
      <c r="S40" s="17" t="str">
        <f aca="false">IF($R40="","",IF($R40&gt;0,"VALORIZACION",IF($R40&lt;0,"DESVALORIZACION","SIN_CAMBIO")))</f>
        <v/>
      </c>
      <c r="T40" s="39"/>
      <c r="U40" s="33"/>
      <c r="V40" s="40"/>
      <c r="W40" s="33"/>
    </row>
    <row r="41" customFormat="false" ht="15" hidden="false" customHeight="false" outlineLevel="0" collapsed="false">
      <c r="A41" s="33"/>
      <c r="B41" s="33"/>
      <c r="C41" s="33"/>
      <c r="D41" s="33"/>
      <c r="E41" s="33"/>
      <c r="F41" s="33"/>
      <c r="G41" s="33"/>
      <c r="H41" s="33"/>
      <c r="I41" s="34"/>
      <c r="J41" s="35"/>
      <c r="K41" s="35"/>
      <c r="L41" s="33"/>
      <c r="M41" s="35"/>
      <c r="N41" s="36" t="str">
        <f aca="false">IF($H41="","",IF($H41="BUENO",1,IF($H41="REGULAR",0.75,IF($H41="MALO",0.4,0.05))))</f>
        <v/>
      </c>
      <c r="O41" s="37" t="str">
        <f aca="false">IF($I41="","",MAX(0,1-$I41))</f>
        <v/>
      </c>
      <c r="P41" s="38" t="str">
        <f aca="false">IF(OR($M41="",$N41="",$O41=""),"",$M41*$O41*$N41)</f>
        <v/>
      </c>
      <c r="Q41" s="35"/>
      <c r="R41" s="38" t="str">
        <f aca="false">IF($Q41="","",$Q41-$K41)</f>
        <v/>
      </c>
      <c r="S41" s="17" t="str">
        <f aca="false">IF($R41="","",IF($R41&gt;0,"VALORIZACION",IF($R41&lt;0,"DESVALORIZACION","SIN_CAMBIO")))</f>
        <v/>
      </c>
      <c r="T41" s="39"/>
      <c r="U41" s="33"/>
      <c r="V41" s="40"/>
      <c r="W41" s="33"/>
    </row>
    <row r="42" customFormat="false" ht="15" hidden="false" customHeight="false" outlineLevel="0" collapsed="false">
      <c r="A42" s="33"/>
      <c r="B42" s="33"/>
      <c r="C42" s="33"/>
      <c r="D42" s="33"/>
      <c r="E42" s="33"/>
      <c r="F42" s="33"/>
      <c r="G42" s="33"/>
      <c r="H42" s="33"/>
      <c r="I42" s="34"/>
      <c r="J42" s="35"/>
      <c r="K42" s="35"/>
      <c r="L42" s="33"/>
      <c r="M42" s="35"/>
      <c r="N42" s="36" t="str">
        <f aca="false">IF($H42="","",IF($H42="BUENO",1,IF($H42="REGULAR",0.75,IF($H42="MALO",0.4,0.05))))</f>
        <v/>
      </c>
      <c r="O42" s="37" t="str">
        <f aca="false">IF($I42="","",MAX(0,1-$I42))</f>
        <v/>
      </c>
      <c r="P42" s="38" t="str">
        <f aca="false">IF(OR($M42="",$N42="",$O42=""),"",$M42*$O42*$N42)</f>
        <v/>
      </c>
      <c r="Q42" s="35"/>
      <c r="R42" s="38" t="str">
        <f aca="false">IF($Q42="","",$Q42-$K42)</f>
        <v/>
      </c>
      <c r="S42" s="17" t="str">
        <f aca="false">IF($R42="","",IF($R42&gt;0,"VALORIZACION",IF($R42&lt;0,"DESVALORIZACION","SIN_CAMBIO")))</f>
        <v/>
      </c>
      <c r="T42" s="39"/>
      <c r="U42" s="33"/>
      <c r="V42" s="40"/>
      <c r="W42" s="33"/>
    </row>
    <row r="43" customFormat="false" ht="15" hidden="false" customHeight="false" outlineLevel="0" collapsed="false">
      <c r="A43" s="33"/>
      <c r="B43" s="33"/>
      <c r="C43" s="33"/>
      <c r="D43" s="33"/>
      <c r="E43" s="33"/>
      <c r="F43" s="33"/>
      <c r="G43" s="33"/>
      <c r="H43" s="33"/>
      <c r="I43" s="34"/>
      <c r="J43" s="35"/>
      <c r="K43" s="35"/>
      <c r="L43" s="33"/>
      <c r="M43" s="35"/>
      <c r="N43" s="36" t="str">
        <f aca="false">IF($H43="","",IF($H43="BUENO",1,IF($H43="REGULAR",0.75,IF($H43="MALO",0.4,0.05))))</f>
        <v/>
      </c>
      <c r="O43" s="37" t="str">
        <f aca="false">IF($I43="","",MAX(0,1-$I43))</f>
        <v/>
      </c>
      <c r="P43" s="38" t="str">
        <f aca="false">IF(OR($M43="",$N43="",$O43=""),"",$M43*$O43*$N43)</f>
        <v/>
      </c>
      <c r="Q43" s="35"/>
      <c r="R43" s="38" t="str">
        <f aca="false">IF($Q43="","",$Q43-$K43)</f>
        <v/>
      </c>
      <c r="S43" s="17" t="str">
        <f aca="false">IF($R43="","",IF($R43&gt;0,"VALORIZACION",IF($R43&lt;0,"DESVALORIZACION","SIN_CAMBIO")))</f>
        <v/>
      </c>
      <c r="T43" s="39"/>
      <c r="U43" s="33"/>
      <c r="V43" s="40"/>
      <c r="W43" s="33"/>
    </row>
    <row r="44" customFormat="false" ht="15" hidden="false" customHeight="false" outlineLevel="0" collapsed="false">
      <c r="A44" s="33"/>
      <c r="B44" s="33"/>
      <c r="C44" s="33"/>
      <c r="D44" s="33"/>
      <c r="E44" s="33"/>
      <c r="F44" s="33"/>
      <c r="G44" s="33"/>
      <c r="H44" s="33"/>
      <c r="I44" s="34"/>
      <c r="J44" s="35"/>
      <c r="K44" s="35"/>
      <c r="L44" s="33"/>
      <c r="M44" s="35"/>
      <c r="N44" s="36" t="str">
        <f aca="false">IF($H44="","",IF($H44="BUENO",1,IF($H44="REGULAR",0.75,IF($H44="MALO",0.4,0.05))))</f>
        <v/>
      </c>
      <c r="O44" s="37" t="str">
        <f aca="false">IF($I44="","",MAX(0,1-$I44))</f>
        <v/>
      </c>
      <c r="P44" s="38" t="str">
        <f aca="false">IF(OR($M44="",$N44="",$O44=""),"",$M44*$O44*$N44)</f>
        <v/>
      </c>
      <c r="Q44" s="35"/>
      <c r="R44" s="38" t="str">
        <f aca="false">IF($Q44="","",$Q44-$K44)</f>
        <v/>
      </c>
      <c r="S44" s="17" t="str">
        <f aca="false">IF($R44="","",IF($R44&gt;0,"VALORIZACION",IF($R44&lt;0,"DESVALORIZACION","SIN_CAMBIO")))</f>
        <v/>
      </c>
      <c r="T44" s="39"/>
      <c r="U44" s="33"/>
      <c r="V44" s="40"/>
      <c r="W44" s="33"/>
    </row>
    <row r="45" customFormat="false" ht="15" hidden="false" customHeight="false" outlineLevel="0" collapsed="false">
      <c r="A45" s="33"/>
      <c r="B45" s="33"/>
      <c r="C45" s="33"/>
      <c r="D45" s="33"/>
      <c r="E45" s="33"/>
      <c r="F45" s="33"/>
      <c r="G45" s="33"/>
      <c r="H45" s="33"/>
      <c r="I45" s="34"/>
      <c r="J45" s="35"/>
      <c r="K45" s="35"/>
      <c r="L45" s="33"/>
      <c r="M45" s="35"/>
      <c r="N45" s="36" t="str">
        <f aca="false">IF($H45="","",IF($H45="BUENO",1,IF($H45="REGULAR",0.75,IF($H45="MALO",0.4,0.05))))</f>
        <v/>
      </c>
      <c r="O45" s="37" t="str">
        <f aca="false">IF($I45="","",MAX(0,1-$I45))</f>
        <v/>
      </c>
      <c r="P45" s="38" t="str">
        <f aca="false">IF(OR($M45="",$N45="",$O45=""),"",$M45*$O45*$N45)</f>
        <v/>
      </c>
      <c r="Q45" s="35"/>
      <c r="R45" s="38" t="str">
        <f aca="false">IF($Q45="","",$Q45-$K45)</f>
        <v/>
      </c>
      <c r="S45" s="17" t="str">
        <f aca="false">IF($R45="","",IF($R45&gt;0,"VALORIZACION",IF($R45&lt;0,"DESVALORIZACION","SIN_CAMBIO")))</f>
        <v/>
      </c>
      <c r="T45" s="39"/>
      <c r="U45" s="33"/>
      <c r="V45" s="40"/>
      <c r="W45" s="33"/>
    </row>
    <row r="46" customFormat="false" ht="15" hidden="false" customHeight="false" outlineLevel="0" collapsed="false">
      <c r="A46" s="33"/>
      <c r="B46" s="33"/>
      <c r="C46" s="33"/>
      <c r="D46" s="33"/>
      <c r="E46" s="33"/>
      <c r="F46" s="33"/>
      <c r="G46" s="33"/>
      <c r="H46" s="33"/>
      <c r="I46" s="34"/>
      <c r="J46" s="35"/>
      <c r="K46" s="35"/>
      <c r="L46" s="33"/>
      <c r="M46" s="35"/>
      <c r="N46" s="36" t="str">
        <f aca="false">IF($H46="","",IF($H46="BUENO",1,IF($H46="REGULAR",0.75,IF($H46="MALO",0.4,0.05))))</f>
        <v/>
      </c>
      <c r="O46" s="37" t="str">
        <f aca="false">IF($I46="","",MAX(0,1-$I46))</f>
        <v/>
      </c>
      <c r="P46" s="38" t="str">
        <f aca="false">IF(OR($M46="",$N46="",$O46=""),"",$M46*$O46*$N46)</f>
        <v/>
      </c>
      <c r="Q46" s="35"/>
      <c r="R46" s="38" t="str">
        <f aca="false">IF($Q46="","",$Q46-$K46)</f>
        <v/>
      </c>
      <c r="S46" s="17" t="str">
        <f aca="false">IF($R46="","",IF($R46&gt;0,"VALORIZACION",IF($R46&lt;0,"DESVALORIZACION","SIN_CAMBIO")))</f>
        <v/>
      </c>
      <c r="T46" s="39"/>
      <c r="U46" s="33"/>
      <c r="V46" s="40"/>
      <c r="W46" s="33"/>
    </row>
    <row r="47" customFormat="false" ht="15" hidden="false" customHeight="false" outlineLevel="0" collapsed="false">
      <c r="A47" s="33"/>
      <c r="B47" s="33"/>
      <c r="C47" s="33"/>
      <c r="D47" s="33"/>
      <c r="E47" s="33"/>
      <c r="F47" s="33"/>
      <c r="G47" s="33"/>
      <c r="H47" s="33"/>
      <c r="I47" s="34"/>
      <c r="J47" s="35"/>
      <c r="K47" s="35"/>
      <c r="L47" s="33"/>
      <c r="M47" s="35"/>
      <c r="N47" s="36" t="str">
        <f aca="false">IF($H47="","",IF($H47="BUENO",1,IF($H47="REGULAR",0.75,IF($H47="MALO",0.4,0.05))))</f>
        <v/>
      </c>
      <c r="O47" s="37" t="str">
        <f aca="false">IF($I47="","",MAX(0,1-$I47))</f>
        <v/>
      </c>
      <c r="P47" s="38" t="str">
        <f aca="false">IF(OR($M47="",$N47="",$O47=""),"",$M47*$O47*$N47)</f>
        <v/>
      </c>
      <c r="Q47" s="35"/>
      <c r="R47" s="38" t="str">
        <f aca="false">IF($Q47="","",$Q47-$K47)</f>
        <v/>
      </c>
      <c r="S47" s="17" t="str">
        <f aca="false">IF($R47="","",IF($R47&gt;0,"VALORIZACION",IF($R47&lt;0,"DESVALORIZACION","SIN_CAMBIO")))</f>
        <v/>
      </c>
      <c r="T47" s="39"/>
      <c r="U47" s="33"/>
      <c r="V47" s="40"/>
      <c r="W47" s="33"/>
    </row>
    <row r="48" customFormat="false" ht="15" hidden="false" customHeight="false" outlineLevel="0" collapsed="false">
      <c r="A48" s="33"/>
      <c r="B48" s="33"/>
      <c r="C48" s="33"/>
      <c r="D48" s="33"/>
      <c r="E48" s="33"/>
      <c r="F48" s="33"/>
      <c r="G48" s="33"/>
      <c r="H48" s="33"/>
      <c r="I48" s="34"/>
      <c r="J48" s="35"/>
      <c r="K48" s="35"/>
      <c r="L48" s="33"/>
      <c r="M48" s="35"/>
      <c r="N48" s="36" t="str">
        <f aca="false">IF($H48="","",IF($H48="BUENO",1,IF($H48="REGULAR",0.75,IF($H48="MALO",0.4,0.05))))</f>
        <v/>
      </c>
      <c r="O48" s="37" t="str">
        <f aca="false">IF($I48="","",MAX(0,1-$I48))</f>
        <v/>
      </c>
      <c r="P48" s="38" t="str">
        <f aca="false">IF(OR($M48="",$N48="",$O48=""),"",$M48*$O48*$N48)</f>
        <v/>
      </c>
      <c r="Q48" s="35"/>
      <c r="R48" s="38" t="str">
        <f aca="false">IF($Q48="","",$Q48-$K48)</f>
        <v/>
      </c>
      <c r="S48" s="17" t="str">
        <f aca="false">IF($R48="","",IF($R48&gt;0,"VALORIZACION",IF($R48&lt;0,"DESVALORIZACION","SIN_CAMBIO")))</f>
        <v/>
      </c>
      <c r="T48" s="39"/>
      <c r="U48" s="33"/>
      <c r="V48" s="40"/>
      <c r="W48" s="33"/>
    </row>
    <row r="49" customFormat="false" ht="15" hidden="false" customHeight="false" outlineLevel="0" collapsed="false">
      <c r="A49" s="33"/>
      <c r="B49" s="33"/>
      <c r="C49" s="33"/>
      <c r="D49" s="33"/>
      <c r="E49" s="33"/>
      <c r="F49" s="33"/>
      <c r="G49" s="33"/>
      <c r="H49" s="33"/>
      <c r="I49" s="34"/>
      <c r="J49" s="35"/>
      <c r="K49" s="35"/>
      <c r="L49" s="33"/>
      <c r="M49" s="35"/>
      <c r="N49" s="36" t="str">
        <f aca="false">IF($H49="","",IF($H49="BUENO",1,IF($H49="REGULAR",0.75,IF($H49="MALO",0.4,0.05))))</f>
        <v/>
      </c>
      <c r="O49" s="37" t="str">
        <f aca="false">IF($I49="","",MAX(0,1-$I49))</f>
        <v/>
      </c>
      <c r="P49" s="38" t="str">
        <f aca="false">IF(OR($M49="",$N49="",$O49=""),"",$M49*$O49*$N49)</f>
        <v/>
      </c>
      <c r="Q49" s="35"/>
      <c r="R49" s="38" t="str">
        <f aca="false">IF($Q49="","",$Q49-$K49)</f>
        <v/>
      </c>
      <c r="S49" s="17" t="str">
        <f aca="false">IF($R49="","",IF($R49&gt;0,"VALORIZACION",IF($R49&lt;0,"DESVALORIZACION","SIN_CAMBIO")))</f>
        <v/>
      </c>
      <c r="T49" s="39"/>
      <c r="U49" s="33"/>
      <c r="V49" s="40"/>
      <c r="W49" s="33"/>
    </row>
    <row r="50" customFormat="false" ht="15" hidden="false" customHeight="false" outlineLevel="0" collapsed="false">
      <c r="A50" s="33"/>
      <c r="B50" s="33"/>
      <c r="C50" s="33"/>
      <c r="D50" s="33"/>
      <c r="E50" s="33"/>
      <c r="F50" s="33"/>
      <c r="G50" s="33"/>
      <c r="H50" s="33"/>
      <c r="I50" s="34"/>
      <c r="J50" s="35"/>
      <c r="K50" s="35"/>
      <c r="L50" s="33"/>
      <c r="M50" s="35"/>
      <c r="N50" s="36" t="str">
        <f aca="false">IF($H50="","",IF($H50="BUENO",1,IF($H50="REGULAR",0.75,IF($H50="MALO",0.4,0.05))))</f>
        <v/>
      </c>
      <c r="O50" s="37" t="str">
        <f aca="false">IF($I50="","",MAX(0,1-$I50))</f>
        <v/>
      </c>
      <c r="P50" s="38" t="str">
        <f aca="false">IF(OR($M50="",$N50="",$O50=""),"",$M50*$O50*$N50)</f>
        <v/>
      </c>
      <c r="Q50" s="35"/>
      <c r="R50" s="38" t="str">
        <f aca="false">IF($Q50="","",$Q50-$K50)</f>
        <v/>
      </c>
      <c r="S50" s="17" t="str">
        <f aca="false">IF($R50="","",IF($R50&gt;0,"VALORIZACION",IF($R50&lt;0,"DESVALORIZACION","SIN_CAMBIO")))</f>
        <v/>
      </c>
      <c r="T50" s="39"/>
      <c r="U50" s="33"/>
      <c r="V50" s="40"/>
      <c r="W50" s="33"/>
    </row>
    <row r="51" customFormat="false" ht="15" hidden="false" customHeight="false" outlineLevel="0" collapsed="false">
      <c r="A51" s="33"/>
      <c r="B51" s="33"/>
      <c r="C51" s="33"/>
      <c r="D51" s="33"/>
      <c r="E51" s="33"/>
      <c r="F51" s="33"/>
      <c r="G51" s="33"/>
      <c r="H51" s="33"/>
      <c r="I51" s="34"/>
      <c r="J51" s="35"/>
      <c r="K51" s="35"/>
      <c r="L51" s="33"/>
      <c r="M51" s="35"/>
      <c r="N51" s="36" t="str">
        <f aca="false">IF($H51="","",IF($H51="BUENO",1,IF($H51="REGULAR",0.75,IF($H51="MALO",0.4,0.05))))</f>
        <v/>
      </c>
      <c r="O51" s="37" t="str">
        <f aca="false">IF($I51="","",MAX(0,1-$I51))</f>
        <v/>
      </c>
      <c r="P51" s="38" t="str">
        <f aca="false">IF(OR($M51="",$N51="",$O51=""),"",$M51*$O51*$N51)</f>
        <v/>
      </c>
      <c r="Q51" s="35"/>
      <c r="R51" s="38" t="str">
        <f aca="false">IF($Q51="","",$Q51-$K51)</f>
        <v/>
      </c>
      <c r="S51" s="17" t="str">
        <f aca="false">IF($R51="","",IF($R51&gt;0,"VALORIZACION",IF($R51&lt;0,"DESVALORIZACION","SIN_CAMBIO")))</f>
        <v/>
      </c>
      <c r="T51" s="39"/>
      <c r="U51" s="33"/>
      <c r="V51" s="40"/>
      <c r="W51" s="33"/>
    </row>
    <row r="52" customFormat="false" ht="15" hidden="false" customHeight="false" outlineLevel="0" collapsed="false">
      <c r="A52" s="33"/>
      <c r="B52" s="33"/>
      <c r="C52" s="33"/>
      <c r="D52" s="33"/>
      <c r="E52" s="33"/>
      <c r="F52" s="33"/>
      <c r="G52" s="33"/>
      <c r="H52" s="33"/>
      <c r="I52" s="34"/>
      <c r="J52" s="35"/>
      <c r="K52" s="35"/>
      <c r="L52" s="33"/>
      <c r="M52" s="35"/>
      <c r="N52" s="36" t="str">
        <f aca="false">IF($H52="","",IF($H52="BUENO",1,IF($H52="REGULAR",0.75,IF($H52="MALO",0.4,0.05))))</f>
        <v/>
      </c>
      <c r="O52" s="37" t="str">
        <f aca="false">IF($I52="","",MAX(0,1-$I52))</f>
        <v/>
      </c>
      <c r="P52" s="38" t="str">
        <f aca="false">IF(OR($M52="",$N52="",$O52=""),"",$M52*$O52*$N52)</f>
        <v/>
      </c>
      <c r="Q52" s="35"/>
      <c r="R52" s="38" t="str">
        <f aca="false">IF($Q52="","",$Q52-$K52)</f>
        <v/>
      </c>
      <c r="S52" s="17" t="str">
        <f aca="false">IF($R52="","",IF($R52&gt;0,"VALORIZACION",IF($R52&lt;0,"DESVALORIZACION","SIN_CAMBIO")))</f>
        <v/>
      </c>
      <c r="T52" s="39"/>
      <c r="U52" s="33"/>
      <c r="V52" s="40"/>
      <c r="W52" s="33"/>
    </row>
    <row r="53" customFormat="false" ht="15" hidden="false" customHeight="false" outlineLevel="0" collapsed="false">
      <c r="A53" s="33"/>
      <c r="B53" s="33"/>
      <c r="C53" s="33"/>
      <c r="D53" s="33"/>
      <c r="E53" s="33"/>
      <c r="F53" s="33"/>
      <c r="G53" s="33"/>
      <c r="H53" s="33"/>
      <c r="I53" s="34"/>
      <c r="J53" s="35"/>
      <c r="K53" s="35"/>
      <c r="L53" s="33"/>
      <c r="M53" s="35"/>
      <c r="N53" s="36" t="str">
        <f aca="false">IF($H53="","",IF($H53="BUENO",1,IF($H53="REGULAR",0.75,IF($H53="MALO",0.4,0.05))))</f>
        <v/>
      </c>
      <c r="O53" s="37" t="str">
        <f aca="false">IF($I53="","",MAX(0,1-$I53))</f>
        <v/>
      </c>
      <c r="P53" s="38" t="str">
        <f aca="false">IF(OR($M53="",$N53="",$O53=""),"",$M53*$O53*$N53)</f>
        <v/>
      </c>
      <c r="Q53" s="35"/>
      <c r="R53" s="38" t="str">
        <f aca="false">IF($Q53="","",$Q53-$K53)</f>
        <v/>
      </c>
      <c r="S53" s="17" t="str">
        <f aca="false">IF($R53="","",IF($R53&gt;0,"VALORIZACION",IF($R53&lt;0,"DESVALORIZACION","SIN_CAMBIO")))</f>
        <v/>
      </c>
      <c r="T53" s="39"/>
      <c r="U53" s="33"/>
      <c r="V53" s="40"/>
      <c r="W53" s="33"/>
    </row>
    <row r="54" customFormat="false" ht="15" hidden="false" customHeight="false" outlineLevel="0" collapsed="false">
      <c r="A54" s="33"/>
      <c r="B54" s="33"/>
      <c r="C54" s="33"/>
      <c r="D54" s="33"/>
      <c r="E54" s="33"/>
      <c r="F54" s="33"/>
      <c r="G54" s="33"/>
      <c r="H54" s="33"/>
      <c r="I54" s="34"/>
      <c r="J54" s="35"/>
      <c r="K54" s="35"/>
      <c r="L54" s="33"/>
      <c r="M54" s="35"/>
      <c r="N54" s="36" t="str">
        <f aca="false">IF($H54="","",IF($H54="BUENO",1,IF($H54="REGULAR",0.75,IF($H54="MALO",0.4,0.05))))</f>
        <v/>
      </c>
      <c r="O54" s="37" t="str">
        <f aca="false">IF($I54="","",MAX(0,1-$I54))</f>
        <v/>
      </c>
      <c r="P54" s="38" t="str">
        <f aca="false">IF(OR($M54="",$N54="",$O54=""),"",$M54*$O54*$N54)</f>
        <v/>
      </c>
      <c r="Q54" s="35"/>
      <c r="R54" s="38" t="str">
        <f aca="false">IF($Q54="","",$Q54-$K54)</f>
        <v/>
      </c>
      <c r="S54" s="17" t="str">
        <f aca="false">IF($R54="","",IF($R54&gt;0,"VALORIZACION",IF($R54&lt;0,"DESVALORIZACION","SIN_CAMBIO")))</f>
        <v/>
      </c>
      <c r="T54" s="39"/>
      <c r="U54" s="33"/>
      <c r="V54" s="40"/>
      <c r="W54" s="33"/>
    </row>
    <row r="55" customFormat="false" ht="15" hidden="false" customHeight="false" outlineLevel="0" collapsed="false">
      <c r="A55" s="33"/>
      <c r="B55" s="33"/>
      <c r="C55" s="33"/>
      <c r="D55" s="33"/>
      <c r="E55" s="33"/>
      <c r="F55" s="33"/>
      <c r="G55" s="33"/>
      <c r="H55" s="33"/>
      <c r="I55" s="34"/>
      <c r="J55" s="35"/>
      <c r="K55" s="35"/>
      <c r="L55" s="33"/>
      <c r="M55" s="35"/>
      <c r="N55" s="36" t="str">
        <f aca="false">IF($H55="","",IF($H55="BUENO",1,IF($H55="REGULAR",0.75,IF($H55="MALO",0.4,0.05))))</f>
        <v/>
      </c>
      <c r="O55" s="37" t="str">
        <f aca="false">IF($I55="","",MAX(0,1-$I55))</f>
        <v/>
      </c>
      <c r="P55" s="38" t="str">
        <f aca="false">IF(OR($M55="",$N55="",$O55=""),"",$M55*$O55*$N55)</f>
        <v/>
      </c>
      <c r="Q55" s="35"/>
      <c r="R55" s="38" t="str">
        <f aca="false">IF($Q55="","",$Q55-$K55)</f>
        <v/>
      </c>
      <c r="S55" s="17" t="str">
        <f aca="false">IF($R55="","",IF($R55&gt;0,"VALORIZACION",IF($R55&lt;0,"DESVALORIZACION","SIN_CAMBIO")))</f>
        <v/>
      </c>
      <c r="T55" s="39"/>
      <c r="U55" s="33"/>
      <c r="V55" s="40"/>
      <c r="W55" s="33"/>
    </row>
    <row r="56" customFormat="false" ht="15" hidden="false" customHeight="false" outlineLevel="0" collapsed="false">
      <c r="A56" s="33"/>
      <c r="B56" s="33"/>
      <c r="C56" s="33"/>
      <c r="D56" s="33"/>
      <c r="E56" s="33"/>
      <c r="F56" s="33"/>
      <c r="G56" s="33"/>
      <c r="H56" s="33"/>
      <c r="I56" s="34"/>
      <c r="J56" s="35"/>
      <c r="K56" s="35"/>
      <c r="L56" s="33"/>
      <c r="M56" s="35"/>
      <c r="N56" s="36" t="str">
        <f aca="false">IF($H56="","",IF($H56="BUENO",1,IF($H56="REGULAR",0.75,IF($H56="MALO",0.4,0.05))))</f>
        <v/>
      </c>
      <c r="O56" s="37" t="str">
        <f aca="false">IF($I56="","",MAX(0,1-$I56))</f>
        <v/>
      </c>
      <c r="P56" s="38" t="str">
        <f aca="false">IF(OR($M56="",$N56="",$O56=""),"",$M56*$O56*$N56)</f>
        <v/>
      </c>
      <c r="Q56" s="35"/>
      <c r="R56" s="38" t="str">
        <f aca="false">IF($Q56="","",$Q56-$K56)</f>
        <v/>
      </c>
      <c r="S56" s="17" t="str">
        <f aca="false">IF($R56="","",IF($R56&gt;0,"VALORIZACION",IF($R56&lt;0,"DESVALORIZACION","SIN_CAMBIO")))</f>
        <v/>
      </c>
      <c r="T56" s="39"/>
      <c r="U56" s="33"/>
      <c r="V56" s="40"/>
      <c r="W56" s="33"/>
    </row>
    <row r="57" customFormat="false" ht="15" hidden="false" customHeight="false" outlineLevel="0" collapsed="false">
      <c r="A57" s="33"/>
      <c r="B57" s="33"/>
      <c r="C57" s="33"/>
      <c r="D57" s="33"/>
      <c r="E57" s="33"/>
      <c r="F57" s="33"/>
      <c r="G57" s="33"/>
      <c r="H57" s="33"/>
      <c r="I57" s="34"/>
      <c r="J57" s="35"/>
      <c r="K57" s="35"/>
      <c r="L57" s="33"/>
      <c r="M57" s="35"/>
      <c r="N57" s="36" t="str">
        <f aca="false">IF($H57="","",IF($H57="BUENO",1,IF($H57="REGULAR",0.75,IF($H57="MALO",0.4,0.05))))</f>
        <v/>
      </c>
      <c r="O57" s="37" t="str">
        <f aca="false">IF($I57="","",MAX(0,1-$I57))</f>
        <v/>
      </c>
      <c r="P57" s="38" t="str">
        <f aca="false">IF(OR($M57="",$N57="",$O57=""),"",$M57*$O57*$N57)</f>
        <v/>
      </c>
      <c r="Q57" s="35"/>
      <c r="R57" s="38" t="str">
        <f aca="false">IF($Q57="","",$Q57-$K57)</f>
        <v/>
      </c>
      <c r="S57" s="17" t="str">
        <f aca="false">IF($R57="","",IF($R57&gt;0,"VALORIZACION",IF($R57&lt;0,"DESVALORIZACION","SIN_CAMBIO")))</f>
        <v/>
      </c>
      <c r="T57" s="39"/>
      <c r="U57" s="33"/>
      <c r="V57" s="40"/>
      <c r="W57" s="33"/>
    </row>
    <row r="58" customFormat="false" ht="15" hidden="false" customHeight="false" outlineLevel="0" collapsed="false">
      <c r="A58" s="33"/>
      <c r="B58" s="33"/>
      <c r="C58" s="33"/>
      <c r="D58" s="33"/>
      <c r="E58" s="33"/>
      <c r="F58" s="33"/>
      <c r="G58" s="33"/>
      <c r="H58" s="33"/>
      <c r="I58" s="34"/>
      <c r="J58" s="35"/>
      <c r="K58" s="35"/>
      <c r="L58" s="33"/>
      <c r="M58" s="35"/>
      <c r="N58" s="36" t="str">
        <f aca="false">IF($H58="","",IF($H58="BUENO",1,IF($H58="REGULAR",0.75,IF($H58="MALO",0.4,0.05))))</f>
        <v/>
      </c>
      <c r="O58" s="37" t="str">
        <f aca="false">IF($I58="","",MAX(0,1-$I58))</f>
        <v/>
      </c>
      <c r="P58" s="38" t="str">
        <f aca="false">IF(OR($M58="",$N58="",$O58=""),"",$M58*$O58*$N58)</f>
        <v/>
      </c>
      <c r="Q58" s="35"/>
      <c r="R58" s="38" t="str">
        <f aca="false">IF($Q58="","",$Q58-$K58)</f>
        <v/>
      </c>
      <c r="S58" s="17" t="str">
        <f aca="false">IF($R58="","",IF($R58&gt;0,"VALORIZACION",IF($R58&lt;0,"DESVALORIZACION","SIN_CAMBIO")))</f>
        <v/>
      </c>
      <c r="T58" s="39"/>
      <c r="U58" s="33"/>
      <c r="V58" s="40"/>
      <c r="W58" s="33"/>
    </row>
    <row r="59" customFormat="false" ht="15" hidden="false" customHeight="false" outlineLevel="0" collapsed="false">
      <c r="A59" s="33"/>
      <c r="B59" s="33"/>
      <c r="C59" s="33"/>
      <c r="D59" s="33"/>
      <c r="E59" s="33"/>
      <c r="F59" s="33"/>
      <c r="G59" s="33"/>
      <c r="H59" s="33"/>
      <c r="I59" s="34"/>
      <c r="J59" s="35"/>
      <c r="K59" s="35"/>
      <c r="L59" s="33"/>
      <c r="M59" s="35"/>
      <c r="N59" s="36" t="str">
        <f aca="false">IF($H59="","",IF($H59="BUENO",1,IF($H59="REGULAR",0.75,IF($H59="MALO",0.4,0.05))))</f>
        <v/>
      </c>
      <c r="O59" s="37" t="str">
        <f aca="false">IF($I59="","",MAX(0,1-$I59))</f>
        <v/>
      </c>
      <c r="P59" s="38" t="str">
        <f aca="false">IF(OR($M59="",$N59="",$O59=""),"",$M59*$O59*$N59)</f>
        <v/>
      </c>
      <c r="Q59" s="35"/>
      <c r="R59" s="38" t="str">
        <f aca="false">IF($Q59="","",$Q59-$K59)</f>
        <v/>
      </c>
      <c r="S59" s="17" t="str">
        <f aca="false">IF($R59="","",IF($R59&gt;0,"VALORIZACION",IF($R59&lt;0,"DESVALORIZACION","SIN_CAMBIO")))</f>
        <v/>
      </c>
      <c r="T59" s="39"/>
      <c r="U59" s="33"/>
      <c r="V59" s="40"/>
      <c r="W59" s="33"/>
    </row>
    <row r="60" customFormat="false" ht="15" hidden="false" customHeight="false" outlineLevel="0" collapsed="false">
      <c r="A60" s="33"/>
      <c r="B60" s="33"/>
      <c r="C60" s="33"/>
      <c r="D60" s="33"/>
      <c r="E60" s="33"/>
      <c r="F60" s="33"/>
      <c r="G60" s="33"/>
      <c r="H60" s="33"/>
      <c r="I60" s="34"/>
      <c r="J60" s="35"/>
      <c r="K60" s="35"/>
      <c r="L60" s="33"/>
      <c r="M60" s="35"/>
      <c r="N60" s="36" t="str">
        <f aca="false">IF($H60="","",IF($H60="BUENO",1,IF($H60="REGULAR",0.75,IF($H60="MALO",0.4,0.05))))</f>
        <v/>
      </c>
      <c r="O60" s="37" t="str">
        <f aca="false">IF($I60="","",MAX(0,1-$I60))</f>
        <v/>
      </c>
      <c r="P60" s="38" t="str">
        <f aca="false">IF(OR($M60="",$N60="",$O60=""),"",$M60*$O60*$N60)</f>
        <v/>
      </c>
      <c r="Q60" s="35"/>
      <c r="R60" s="38" t="str">
        <f aca="false">IF($Q60="","",$Q60-$K60)</f>
        <v/>
      </c>
      <c r="S60" s="17" t="str">
        <f aca="false">IF($R60="","",IF($R60&gt;0,"VALORIZACION",IF($R60&lt;0,"DESVALORIZACION","SIN_CAMBIO")))</f>
        <v/>
      </c>
      <c r="T60" s="39"/>
      <c r="U60" s="33"/>
      <c r="V60" s="40"/>
      <c r="W60" s="33"/>
    </row>
    <row r="61" customFormat="false" ht="15" hidden="false" customHeight="false" outlineLevel="0" collapsed="false">
      <c r="A61" s="33"/>
      <c r="B61" s="33"/>
      <c r="C61" s="33"/>
      <c r="D61" s="33"/>
      <c r="E61" s="33"/>
      <c r="F61" s="33"/>
      <c r="G61" s="33"/>
      <c r="H61" s="33"/>
      <c r="I61" s="34"/>
      <c r="J61" s="35"/>
      <c r="K61" s="35"/>
      <c r="L61" s="33"/>
      <c r="M61" s="35"/>
      <c r="N61" s="36" t="str">
        <f aca="false">IF($H61="","",IF($H61="BUENO",1,IF($H61="REGULAR",0.75,IF($H61="MALO",0.4,0.05))))</f>
        <v/>
      </c>
      <c r="O61" s="37" t="str">
        <f aca="false">IF($I61="","",MAX(0,1-$I61))</f>
        <v/>
      </c>
      <c r="P61" s="38" t="str">
        <f aca="false">IF(OR($M61="",$N61="",$O61=""),"",$M61*$O61*$N61)</f>
        <v/>
      </c>
      <c r="Q61" s="35"/>
      <c r="R61" s="38" t="str">
        <f aca="false">IF($Q61="","",$Q61-$K61)</f>
        <v/>
      </c>
      <c r="S61" s="17" t="str">
        <f aca="false">IF($R61="","",IF($R61&gt;0,"VALORIZACION",IF($R61&lt;0,"DESVALORIZACION","SIN_CAMBIO")))</f>
        <v/>
      </c>
      <c r="T61" s="39"/>
      <c r="U61" s="33"/>
      <c r="V61" s="40"/>
      <c r="W61" s="33"/>
    </row>
    <row r="62" customFormat="false" ht="15" hidden="false" customHeight="false" outlineLevel="0" collapsed="false">
      <c r="A62" s="33"/>
      <c r="B62" s="33"/>
      <c r="C62" s="33"/>
      <c r="D62" s="33"/>
      <c r="E62" s="33"/>
      <c r="F62" s="33"/>
      <c r="G62" s="33"/>
      <c r="H62" s="33"/>
      <c r="I62" s="34"/>
      <c r="J62" s="35"/>
      <c r="K62" s="35"/>
      <c r="L62" s="33"/>
      <c r="M62" s="35"/>
      <c r="N62" s="36" t="str">
        <f aca="false">IF($H62="","",IF($H62="BUENO",1,IF($H62="REGULAR",0.75,IF($H62="MALO",0.4,0.05))))</f>
        <v/>
      </c>
      <c r="O62" s="37" t="str">
        <f aca="false">IF($I62="","",MAX(0,1-$I62))</f>
        <v/>
      </c>
      <c r="P62" s="38" t="str">
        <f aca="false">IF(OR($M62="",$N62="",$O62=""),"",$M62*$O62*$N62)</f>
        <v/>
      </c>
      <c r="Q62" s="35"/>
      <c r="R62" s="38" t="str">
        <f aca="false">IF($Q62="","",$Q62-$K62)</f>
        <v/>
      </c>
      <c r="S62" s="17" t="str">
        <f aca="false">IF($R62="","",IF($R62&gt;0,"VALORIZACION",IF($R62&lt;0,"DESVALORIZACION","SIN_CAMBIO")))</f>
        <v/>
      </c>
      <c r="T62" s="39"/>
      <c r="U62" s="33"/>
      <c r="V62" s="40"/>
      <c r="W62" s="33"/>
    </row>
    <row r="63" customFormat="false" ht="15" hidden="false" customHeight="false" outlineLevel="0" collapsed="false">
      <c r="A63" s="33"/>
      <c r="B63" s="33"/>
      <c r="C63" s="33"/>
      <c r="D63" s="33"/>
      <c r="E63" s="33"/>
      <c r="F63" s="33"/>
      <c r="G63" s="33"/>
      <c r="H63" s="33"/>
      <c r="I63" s="34"/>
      <c r="J63" s="35"/>
      <c r="K63" s="35"/>
      <c r="L63" s="33"/>
      <c r="M63" s="35"/>
      <c r="N63" s="36" t="str">
        <f aca="false">IF($H63="","",IF($H63="BUENO",1,IF($H63="REGULAR",0.75,IF($H63="MALO",0.4,0.05))))</f>
        <v/>
      </c>
      <c r="O63" s="37" t="str">
        <f aca="false">IF($I63="","",MAX(0,1-$I63))</f>
        <v/>
      </c>
      <c r="P63" s="38" t="str">
        <f aca="false">IF(OR($M63="",$N63="",$O63=""),"",$M63*$O63*$N63)</f>
        <v/>
      </c>
      <c r="Q63" s="35"/>
      <c r="R63" s="38" t="str">
        <f aca="false">IF($Q63="","",$Q63-$K63)</f>
        <v/>
      </c>
      <c r="S63" s="17" t="str">
        <f aca="false">IF($R63="","",IF($R63&gt;0,"VALORIZACION",IF($R63&lt;0,"DESVALORIZACION","SIN_CAMBIO")))</f>
        <v/>
      </c>
      <c r="T63" s="39"/>
      <c r="U63" s="33"/>
      <c r="V63" s="40"/>
      <c r="W63" s="33"/>
    </row>
    <row r="64" customFormat="false" ht="15" hidden="false" customHeight="false" outlineLevel="0" collapsed="false">
      <c r="A64" s="33"/>
      <c r="B64" s="33"/>
      <c r="C64" s="33"/>
      <c r="D64" s="33"/>
      <c r="E64" s="33"/>
      <c r="F64" s="33"/>
      <c r="G64" s="33"/>
      <c r="H64" s="33"/>
      <c r="I64" s="34"/>
      <c r="J64" s="35"/>
      <c r="K64" s="35"/>
      <c r="L64" s="33"/>
      <c r="M64" s="35"/>
      <c r="N64" s="36" t="str">
        <f aca="false">IF($H64="","",IF($H64="BUENO",1,IF($H64="REGULAR",0.75,IF($H64="MALO",0.4,0.05))))</f>
        <v/>
      </c>
      <c r="O64" s="37" t="str">
        <f aca="false">IF($I64="","",MAX(0,1-$I64))</f>
        <v/>
      </c>
      <c r="P64" s="38" t="str">
        <f aca="false">IF(OR($M64="",$N64="",$O64=""),"",$M64*$O64*$N64)</f>
        <v/>
      </c>
      <c r="Q64" s="35"/>
      <c r="R64" s="38" t="str">
        <f aca="false">IF($Q64="","",$Q64-$K64)</f>
        <v/>
      </c>
      <c r="S64" s="17" t="str">
        <f aca="false">IF($R64="","",IF($R64&gt;0,"VALORIZACION",IF($R64&lt;0,"DESVALORIZACION","SIN_CAMBIO")))</f>
        <v/>
      </c>
      <c r="T64" s="39"/>
      <c r="U64" s="33"/>
      <c r="V64" s="40"/>
      <c r="W64" s="33"/>
    </row>
    <row r="65" customFormat="false" ht="15" hidden="false" customHeight="false" outlineLevel="0" collapsed="false">
      <c r="A65" s="33"/>
      <c r="B65" s="33"/>
      <c r="C65" s="33"/>
      <c r="D65" s="33"/>
      <c r="E65" s="33"/>
      <c r="F65" s="33"/>
      <c r="G65" s="33"/>
      <c r="H65" s="33"/>
      <c r="I65" s="34"/>
      <c r="J65" s="35"/>
      <c r="K65" s="35"/>
      <c r="L65" s="33"/>
      <c r="M65" s="35"/>
      <c r="N65" s="36" t="str">
        <f aca="false">IF($H65="","",IF($H65="BUENO",1,IF($H65="REGULAR",0.75,IF($H65="MALO",0.4,0.05))))</f>
        <v/>
      </c>
      <c r="O65" s="37" t="str">
        <f aca="false">IF($I65="","",MAX(0,1-$I65))</f>
        <v/>
      </c>
      <c r="P65" s="38" t="str">
        <f aca="false">IF(OR($M65="",$N65="",$O65=""),"",$M65*$O65*$N65)</f>
        <v/>
      </c>
      <c r="Q65" s="35"/>
      <c r="R65" s="38" t="str">
        <f aca="false">IF($Q65="","",$Q65-$K65)</f>
        <v/>
      </c>
      <c r="S65" s="17" t="str">
        <f aca="false">IF($R65="","",IF($R65&gt;0,"VALORIZACION",IF($R65&lt;0,"DESVALORIZACION","SIN_CAMBIO")))</f>
        <v/>
      </c>
      <c r="T65" s="39"/>
      <c r="U65" s="33"/>
      <c r="V65" s="40"/>
      <c r="W65" s="33"/>
    </row>
    <row r="66" customFormat="false" ht="15" hidden="false" customHeight="false" outlineLevel="0" collapsed="false">
      <c r="A66" s="33"/>
      <c r="B66" s="33"/>
      <c r="C66" s="33"/>
      <c r="D66" s="33"/>
      <c r="E66" s="33"/>
      <c r="F66" s="33"/>
      <c r="G66" s="33"/>
      <c r="H66" s="33"/>
      <c r="I66" s="34"/>
      <c r="J66" s="35"/>
      <c r="K66" s="35"/>
      <c r="L66" s="33"/>
      <c r="M66" s="35"/>
      <c r="N66" s="36" t="str">
        <f aca="false">IF($H66="","",IF($H66="BUENO",1,IF($H66="REGULAR",0.75,IF($H66="MALO",0.4,0.05))))</f>
        <v/>
      </c>
      <c r="O66" s="37" t="str">
        <f aca="false">IF($I66="","",MAX(0,1-$I66))</f>
        <v/>
      </c>
      <c r="P66" s="38" t="str">
        <f aca="false">IF(OR($M66="",$N66="",$O66=""),"",$M66*$O66*$N66)</f>
        <v/>
      </c>
      <c r="Q66" s="35"/>
      <c r="R66" s="38" t="str">
        <f aca="false">IF($Q66="","",$Q66-$K66)</f>
        <v/>
      </c>
      <c r="S66" s="17" t="str">
        <f aca="false">IF($R66="","",IF($R66&gt;0,"VALORIZACION",IF($R66&lt;0,"DESVALORIZACION","SIN_CAMBIO")))</f>
        <v/>
      </c>
      <c r="T66" s="39"/>
      <c r="U66" s="33"/>
      <c r="V66" s="40"/>
      <c r="W66" s="33"/>
    </row>
    <row r="67" customFormat="false" ht="15" hidden="false" customHeight="false" outlineLevel="0" collapsed="false">
      <c r="A67" s="33"/>
      <c r="B67" s="33"/>
      <c r="C67" s="33"/>
      <c r="D67" s="33"/>
      <c r="E67" s="33"/>
      <c r="F67" s="33"/>
      <c r="G67" s="33"/>
      <c r="H67" s="33"/>
      <c r="I67" s="34"/>
      <c r="J67" s="35"/>
      <c r="K67" s="35"/>
      <c r="L67" s="33"/>
      <c r="M67" s="35"/>
      <c r="N67" s="36" t="str">
        <f aca="false">IF($H67="","",IF($H67="BUENO",1,IF($H67="REGULAR",0.75,IF($H67="MALO",0.4,0.05))))</f>
        <v/>
      </c>
      <c r="O67" s="37" t="str">
        <f aca="false">IF($I67="","",MAX(0,1-$I67))</f>
        <v/>
      </c>
      <c r="P67" s="38" t="str">
        <f aca="false">IF(OR($M67="",$N67="",$O67=""),"",$M67*$O67*$N67)</f>
        <v/>
      </c>
      <c r="Q67" s="35"/>
      <c r="R67" s="38" t="str">
        <f aca="false">IF($Q67="","",$Q67-$K67)</f>
        <v/>
      </c>
      <c r="S67" s="17" t="str">
        <f aca="false">IF($R67="","",IF($R67&gt;0,"VALORIZACION",IF($R67&lt;0,"DESVALORIZACION","SIN_CAMBIO")))</f>
        <v/>
      </c>
      <c r="T67" s="39"/>
      <c r="U67" s="33"/>
      <c r="V67" s="40"/>
      <c r="W67" s="33"/>
    </row>
    <row r="68" customFormat="false" ht="15" hidden="false" customHeight="false" outlineLevel="0" collapsed="false">
      <c r="A68" s="33"/>
      <c r="B68" s="33"/>
      <c r="C68" s="33"/>
      <c r="D68" s="33"/>
      <c r="E68" s="33"/>
      <c r="F68" s="33"/>
      <c r="G68" s="33"/>
      <c r="H68" s="33"/>
      <c r="I68" s="34"/>
      <c r="J68" s="35"/>
      <c r="K68" s="35"/>
      <c r="L68" s="33"/>
      <c r="M68" s="35"/>
      <c r="N68" s="36" t="str">
        <f aca="false">IF($H68="","",IF($H68="BUENO",1,IF($H68="REGULAR",0.75,IF($H68="MALO",0.4,0.05))))</f>
        <v/>
      </c>
      <c r="O68" s="37" t="str">
        <f aca="false">IF($I68="","",MAX(0,1-$I68))</f>
        <v/>
      </c>
      <c r="P68" s="38" t="str">
        <f aca="false">IF(OR($M68="",$N68="",$O68=""),"",$M68*$O68*$N68)</f>
        <v/>
      </c>
      <c r="Q68" s="35"/>
      <c r="R68" s="38" t="str">
        <f aca="false">IF($Q68="","",$Q68-$K68)</f>
        <v/>
      </c>
      <c r="S68" s="17" t="str">
        <f aca="false">IF($R68="","",IF($R68&gt;0,"VALORIZACION",IF($R68&lt;0,"DESVALORIZACION","SIN_CAMBIO")))</f>
        <v/>
      </c>
      <c r="T68" s="39"/>
      <c r="U68" s="33"/>
      <c r="V68" s="40"/>
      <c r="W68" s="33"/>
    </row>
    <row r="69" customFormat="false" ht="15" hidden="false" customHeight="false" outlineLevel="0" collapsed="false">
      <c r="A69" s="33"/>
      <c r="B69" s="33"/>
      <c r="C69" s="33"/>
      <c r="D69" s="33"/>
      <c r="E69" s="33"/>
      <c r="F69" s="33"/>
      <c r="G69" s="33"/>
      <c r="H69" s="33"/>
      <c r="I69" s="34"/>
      <c r="J69" s="35"/>
      <c r="K69" s="35"/>
      <c r="L69" s="33"/>
      <c r="M69" s="35"/>
      <c r="N69" s="36" t="str">
        <f aca="false">IF($H69="","",IF($H69="BUENO",1,IF($H69="REGULAR",0.75,IF($H69="MALO",0.4,0.05))))</f>
        <v/>
      </c>
      <c r="O69" s="37" t="str">
        <f aca="false">IF($I69="","",MAX(0,1-$I69))</f>
        <v/>
      </c>
      <c r="P69" s="38" t="str">
        <f aca="false">IF(OR($M69="",$N69="",$O69=""),"",$M69*$O69*$N69)</f>
        <v/>
      </c>
      <c r="Q69" s="35"/>
      <c r="R69" s="38" t="str">
        <f aca="false">IF($Q69="","",$Q69-$K69)</f>
        <v/>
      </c>
      <c r="S69" s="17" t="str">
        <f aca="false">IF($R69="","",IF($R69&gt;0,"VALORIZACION",IF($R69&lt;0,"DESVALORIZACION","SIN_CAMBIO")))</f>
        <v/>
      </c>
      <c r="T69" s="39"/>
      <c r="U69" s="33"/>
      <c r="V69" s="40"/>
      <c r="W69" s="33"/>
    </row>
    <row r="70" customFormat="false" ht="15" hidden="false" customHeight="false" outlineLevel="0" collapsed="false">
      <c r="A70" s="33"/>
      <c r="B70" s="33"/>
      <c r="C70" s="33"/>
      <c r="D70" s="33"/>
      <c r="E70" s="33"/>
      <c r="F70" s="33"/>
      <c r="G70" s="33"/>
      <c r="H70" s="33"/>
      <c r="I70" s="34"/>
      <c r="J70" s="35"/>
      <c r="K70" s="35"/>
      <c r="L70" s="33"/>
      <c r="M70" s="35"/>
      <c r="N70" s="36" t="str">
        <f aca="false">IF($H70="","",IF($H70="BUENO",1,IF($H70="REGULAR",0.75,IF($H70="MALO",0.4,0.05))))</f>
        <v/>
      </c>
      <c r="O70" s="37" t="str">
        <f aca="false">IF($I70="","",MAX(0,1-$I70))</f>
        <v/>
      </c>
      <c r="P70" s="38" t="str">
        <f aca="false">IF(OR($M70="",$N70="",$O70=""),"",$M70*$O70*$N70)</f>
        <v/>
      </c>
      <c r="Q70" s="35"/>
      <c r="R70" s="38" t="str">
        <f aca="false">IF($Q70="","",$Q70-$K70)</f>
        <v/>
      </c>
      <c r="S70" s="17" t="str">
        <f aca="false">IF($R70="","",IF($R70&gt;0,"VALORIZACION",IF($R70&lt;0,"DESVALORIZACION","SIN_CAMBIO")))</f>
        <v/>
      </c>
      <c r="T70" s="39"/>
      <c r="U70" s="33"/>
      <c r="V70" s="40"/>
      <c r="W70" s="33"/>
    </row>
    <row r="71" customFormat="false" ht="15" hidden="false" customHeight="false" outlineLevel="0" collapsed="false">
      <c r="A71" s="33"/>
      <c r="B71" s="33"/>
      <c r="C71" s="33"/>
      <c r="D71" s="33"/>
      <c r="E71" s="33"/>
      <c r="F71" s="33"/>
      <c r="G71" s="33"/>
      <c r="H71" s="33"/>
      <c r="I71" s="34"/>
      <c r="J71" s="35"/>
      <c r="K71" s="35"/>
      <c r="L71" s="33"/>
      <c r="M71" s="35"/>
      <c r="N71" s="36" t="str">
        <f aca="false">IF($H71="","",IF($H71="BUENO",1,IF($H71="REGULAR",0.75,IF($H71="MALO",0.4,0.05))))</f>
        <v/>
      </c>
      <c r="O71" s="37" t="str">
        <f aca="false">IF($I71="","",MAX(0,1-$I71))</f>
        <v/>
      </c>
      <c r="P71" s="38" t="str">
        <f aca="false">IF(OR($M71="",$N71="",$O71=""),"",$M71*$O71*$N71)</f>
        <v/>
      </c>
      <c r="Q71" s="35"/>
      <c r="R71" s="38" t="str">
        <f aca="false">IF($Q71="","",$Q71-$K71)</f>
        <v/>
      </c>
      <c r="S71" s="17" t="str">
        <f aca="false">IF($R71="","",IF($R71&gt;0,"VALORIZACION",IF($R71&lt;0,"DESVALORIZACION","SIN_CAMBIO")))</f>
        <v/>
      </c>
      <c r="T71" s="39"/>
      <c r="U71" s="33"/>
      <c r="V71" s="40"/>
      <c r="W71" s="33"/>
    </row>
    <row r="72" customFormat="false" ht="15" hidden="false" customHeight="false" outlineLevel="0" collapsed="false">
      <c r="A72" s="33"/>
      <c r="B72" s="33"/>
      <c r="C72" s="33"/>
      <c r="D72" s="33"/>
      <c r="E72" s="33"/>
      <c r="F72" s="33"/>
      <c r="G72" s="33"/>
      <c r="H72" s="33"/>
      <c r="I72" s="34"/>
      <c r="J72" s="35"/>
      <c r="K72" s="35"/>
      <c r="L72" s="33"/>
      <c r="M72" s="35"/>
      <c r="N72" s="36" t="str">
        <f aca="false">IF($H72="","",IF($H72="BUENO",1,IF($H72="REGULAR",0.75,IF($H72="MALO",0.4,0.05))))</f>
        <v/>
      </c>
      <c r="O72" s="37" t="str">
        <f aca="false">IF($I72="","",MAX(0,1-$I72))</f>
        <v/>
      </c>
      <c r="P72" s="38" t="str">
        <f aca="false">IF(OR($M72="",$N72="",$O72=""),"",$M72*$O72*$N72)</f>
        <v/>
      </c>
      <c r="Q72" s="35"/>
      <c r="R72" s="38" t="str">
        <f aca="false">IF($Q72="","",$Q72-$K72)</f>
        <v/>
      </c>
      <c r="S72" s="17" t="str">
        <f aca="false">IF($R72="","",IF($R72&gt;0,"VALORIZACION",IF($R72&lt;0,"DESVALORIZACION","SIN_CAMBIO")))</f>
        <v/>
      </c>
      <c r="T72" s="39"/>
      <c r="U72" s="33"/>
      <c r="V72" s="40"/>
      <c r="W72" s="33"/>
    </row>
    <row r="73" customFormat="false" ht="15" hidden="false" customHeight="false" outlineLevel="0" collapsed="false">
      <c r="A73" s="33"/>
      <c r="B73" s="33"/>
      <c r="C73" s="33"/>
      <c r="D73" s="33"/>
      <c r="E73" s="33"/>
      <c r="F73" s="33"/>
      <c r="G73" s="33"/>
      <c r="H73" s="33"/>
      <c r="I73" s="34"/>
      <c r="J73" s="35"/>
      <c r="K73" s="35"/>
      <c r="L73" s="33"/>
      <c r="M73" s="35"/>
      <c r="N73" s="36" t="str">
        <f aca="false">IF($H73="","",IF($H73="BUENO",1,IF($H73="REGULAR",0.75,IF($H73="MALO",0.4,0.05))))</f>
        <v/>
      </c>
      <c r="O73" s="37" t="str">
        <f aca="false">IF($I73="","",MAX(0,1-$I73))</f>
        <v/>
      </c>
      <c r="P73" s="38" t="str">
        <f aca="false">IF(OR($M73="",$N73="",$O73=""),"",$M73*$O73*$N73)</f>
        <v/>
      </c>
      <c r="Q73" s="35"/>
      <c r="R73" s="38" t="str">
        <f aca="false">IF($Q73="","",$Q73-$K73)</f>
        <v/>
      </c>
      <c r="S73" s="17" t="str">
        <f aca="false">IF($R73="","",IF($R73&gt;0,"VALORIZACION",IF($R73&lt;0,"DESVALORIZACION","SIN_CAMBIO")))</f>
        <v/>
      </c>
      <c r="T73" s="39"/>
      <c r="U73" s="33"/>
      <c r="V73" s="40"/>
      <c r="W73" s="33"/>
    </row>
    <row r="74" customFormat="false" ht="15" hidden="false" customHeight="false" outlineLevel="0" collapsed="false">
      <c r="A74" s="33"/>
      <c r="B74" s="33"/>
      <c r="C74" s="33"/>
      <c r="D74" s="33"/>
      <c r="E74" s="33"/>
      <c r="F74" s="33"/>
      <c r="G74" s="33"/>
      <c r="H74" s="33"/>
      <c r="I74" s="34"/>
      <c r="J74" s="35"/>
      <c r="K74" s="35"/>
      <c r="L74" s="33"/>
      <c r="M74" s="35"/>
      <c r="N74" s="36" t="str">
        <f aca="false">IF($H74="","",IF($H74="BUENO",1,IF($H74="REGULAR",0.75,IF($H74="MALO",0.4,0.05))))</f>
        <v/>
      </c>
      <c r="O74" s="37" t="str">
        <f aca="false">IF($I74="","",MAX(0,1-$I74))</f>
        <v/>
      </c>
      <c r="P74" s="38" t="str">
        <f aca="false">IF(OR($M74="",$N74="",$O74=""),"",$M74*$O74*$N74)</f>
        <v/>
      </c>
      <c r="Q74" s="35"/>
      <c r="R74" s="38" t="str">
        <f aca="false">IF($Q74="","",$Q74-$K74)</f>
        <v/>
      </c>
      <c r="S74" s="17" t="str">
        <f aca="false">IF($R74="","",IF($R74&gt;0,"VALORIZACION",IF($R74&lt;0,"DESVALORIZACION","SIN_CAMBIO")))</f>
        <v/>
      </c>
      <c r="T74" s="39"/>
      <c r="U74" s="33"/>
      <c r="V74" s="40"/>
      <c r="W74" s="33"/>
    </row>
    <row r="75" customFormat="false" ht="15" hidden="false" customHeight="false" outlineLevel="0" collapsed="false">
      <c r="A75" s="33"/>
      <c r="B75" s="33"/>
      <c r="C75" s="33"/>
      <c r="D75" s="33"/>
      <c r="E75" s="33"/>
      <c r="F75" s="33"/>
      <c r="G75" s="33"/>
      <c r="H75" s="33"/>
      <c r="I75" s="34"/>
      <c r="J75" s="35"/>
      <c r="K75" s="35"/>
      <c r="L75" s="33"/>
      <c r="M75" s="35"/>
      <c r="N75" s="36" t="str">
        <f aca="false">IF($H75="","",IF($H75="BUENO",1,IF($H75="REGULAR",0.75,IF($H75="MALO",0.4,0.05))))</f>
        <v/>
      </c>
      <c r="O75" s="37" t="str">
        <f aca="false">IF($I75="","",MAX(0,1-$I75))</f>
        <v/>
      </c>
      <c r="P75" s="38" t="str">
        <f aca="false">IF(OR($M75="",$N75="",$O75=""),"",$M75*$O75*$N75)</f>
        <v/>
      </c>
      <c r="Q75" s="35"/>
      <c r="R75" s="38" t="str">
        <f aca="false">IF($Q75="","",$Q75-$K75)</f>
        <v/>
      </c>
      <c r="S75" s="17" t="str">
        <f aca="false">IF($R75="","",IF($R75&gt;0,"VALORIZACION",IF($R75&lt;0,"DESVALORIZACION","SIN_CAMBIO")))</f>
        <v/>
      </c>
      <c r="T75" s="39"/>
      <c r="U75" s="33"/>
      <c r="V75" s="40"/>
      <c r="W75" s="33"/>
    </row>
    <row r="76" customFormat="false" ht="15" hidden="false" customHeight="false" outlineLevel="0" collapsed="false">
      <c r="A76" s="33"/>
      <c r="B76" s="33"/>
      <c r="C76" s="33"/>
      <c r="D76" s="33"/>
      <c r="E76" s="33"/>
      <c r="F76" s="33"/>
      <c r="G76" s="33"/>
      <c r="H76" s="33"/>
      <c r="I76" s="34"/>
      <c r="J76" s="35"/>
      <c r="K76" s="35"/>
      <c r="L76" s="33"/>
      <c r="M76" s="35"/>
      <c r="N76" s="36" t="str">
        <f aca="false">IF($H76="","",IF($H76="BUENO",1,IF($H76="REGULAR",0.75,IF($H76="MALO",0.4,0.05))))</f>
        <v/>
      </c>
      <c r="O76" s="37" t="str">
        <f aca="false">IF($I76="","",MAX(0,1-$I76))</f>
        <v/>
      </c>
      <c r="P76" s="38" t="str">
        <f aca="false">IF(OR($M76="",$N76="",$O76=""),"",$M76*$O76*$N76)</f>
        <v/>
      </c>
      <c r="Q76" s="35"/>
      <c r="R76" s="38" t="str">
        <f aca="false">IF($Q76="","",$Q76-$K76)</f>
        <v/>
      </c>
      <c r="S76" s="17" t="str">
        <f aca="false">IF($R76="","",IF($R76&gt;0,"VALORIZACION",IF($R76&lt;0,"DESVALORIZACION","SIN_CAMBIO")))</f>
        <v/>
      </c>
      <c r="T76" s="39"/>
      <c r="U76" s="33"/>
      <c r="V76" s="40"/>
      <c r="W76" s="33"/>
    </row>
    <row r="77" customFormat="false" ht="15" hidden="false" customHeight="false" outlineLevel="0" collapsed="false">
      <c r="A77" s="33"/>
      <c r="B77" s="33"/>
      <c r="C77" s="33"/>
      <c r="D77" s="33"/>
      <c r="E77" s="33"/>
      <c r="F77" s="33"/>
      <c r="G77" s="33"/>
      <c r="H77" s="33"/>
      <c r="I77" s="34"/>
      <c r="J77" s="35"/>
      <c r="K77" s="35"/>
      <c r="L77" s="33"/>
      <c r="M77" s="35"/>
      <c r="N77" s="36" t="str">
        <f aca="false">IF($H77="","",IF($H77="BUENO",1,IF($H77="REGULAR",0.75,IF($H77="MALO",0.4,0.05))))</f>
        <v/>
      </c>
      <c r="O77" s="37" t="str">
        <f aca="false">IF($I77="","",MAX(0,1-$I77))</f>
        <v/>
      </c>
      <c r="P77" s="38" t="str">
        <f aca="false">IF(OR($M77="",$N77="",$O77=""),"",$M77*$O77*$N77)</f>
        <v/>
      </c>
      <c r="Q77" s="35"/>
      <c r="R77" s="38" t="str">
        <f aca="false">IF($Q77="","",$Q77-$K77)</f>
        <v/>
      </c>
      <c r="S77" s="17" t="str">
        <f aca="false">IF($R77="","",IF($R77&gt;0,"VALORIZACION",IF($R77&lt;0,"DESVALORIZACION","SIN_CAMBIO")))</f>
        <v/>
      </c>
      <c r="T77" s="39"/>
      <c r="U77" s="33"/>
      <c r="V77" s="40"/>
      <c r="W77" s="33"/>
    </row>
    <row r="78" customFormat="false" ht="15" hidden="false" customHeight="false" outlineLevel="0" collapsed="false">
      <c r="A78" s="33"/>
      <c r="B78" s="33"/>
      <c r="C78" s="33"/>
      <c r="D78" s="33"/>
      <c r="E78" s="33"/>
      <c r="F78" s="33"/>
      <c r="G78" s="33"/>
      <c r="H78" s="33"/>
      <c r="I78" s="34"/>
      <c r="J78" s="35"/>
      <c r="K78" s="35"/>
      <c r="L78" s="33"/>
      <c r="M78" s="35"/>
      <c r="N78" s="36" t="str">
        <f aca="false">IF($H78="","",IF($H78="BUENO",1,IF($H78="REGULAR",0.75,IF($H78="MALO",0.4,0.05))))</f>
        <v/>
      </c>
      <c r="O78" s="37" t="str">
        <f aca="false">IF($I78="","",MAX(0,1-$I78))</f>
        <v/>
      </c>
      <c r="P78" s="38" t="str">
        <f aca="false">IF(OR($M78="",$N78="",$O78=""),"",$M78*$O78*$N78)</f>
        <v/>
      </c>
      <c r="Q78" s="35"/>
      <c r="R78" s="38" t="str">
        <f aca="false">IF($Q78="","",$Q78-$K78)</f>
        <v/>
      </c>
      <c r="S78" s="17" t="str">
        <f aca="false">IF($R78="","",IF($R78&gt;0,"VALORIZACION",IF($R78&lt;0,"DESVALORIZACION","SIN_CAMBIO")))</f>
        <v/>
      </c>
      <c r="T78" s="39"/>
      <c r="U78" s="33"/>
      <c r="V78" s="40"/>
      <c r="W78" s="33"/>
    </row>
    <row r="79" customFormat="false" ht="15" hidden="false" customHeight="false" outlineLevel="0" collapsed="false">
      <c r="A79" s="33"/>
      <c r="B79" s="33"/>
      <c r="C79" s="33"/>
      <c r="D79" s="33"/>
      <c r="E79" s="33"/>
      <c r="F79" s="33"/>
      <c r="G79" s="33"/>
      <c r="H79" s="33"/>
      <c r="I79" s="34"/>
      <c r="J79" s="35"/>
      <c r="K79" s="35"/>
      <c r="L79" s="33"/>
      <c r="M79" s="35"/>
      <c r="N79" s="36" t="str">
        <f aca="false">IF($H79="","",IF($H79="BUENO",1,IF($H79="REGULAR",0.75,IF($H79="MALO",0.4,0.05))))</f>
        <v/>
      </c>
      <c r="O79" s="37" t="str">
        <f aca="false">IF($I79="","",MAX(0,1-$I79))</f>
        <v/>
      </c>
      <c r="P79" s="38" t="str">
        <f aca="false">IF(OR($M79="",$N79="",$O79=""),"",$M79*$O79*$N79)</f>
        <v/>
      </c>
      <c r="Q79" s="35"/>
      <c r="R79" s="38" t="str">
        <f aca="false">IF($Q79="","",$Q79-$K79)</f>
        <v/>
      </c>
      <c r="S79" s="17" t="str">
        <f aca="false">IF($R79="","",IF($R79&gt;0,"VALORIZACION",IF($R79&lt;0,"DESVALORIZACION","SIN_CAMBIO")))</f>
        <v/>
      </c>
      <c r="T79" s="39"/>
      <c r="U79" s="33"/>
      <c r="V79" s="40"/>
      <c r="W79" s="33"/>
    </row>
    <row r="80" customFormat="false" ht="15" hidden="false" customHeight="false" outlineLevel="0" collapsed="false">
      <c r="A80" s="33"/>
      <c r="B80" s="33"/>
      <c r="C80" s="33"/>
      <c r="D80" s="33"/>
      <c r="E80" s="33"/>
      <c r="F80" s="33"/>
      <c r="G80" s="33"/>
      <c r="H80" s="33"/>
      <c r="I80" s="34"/>
      <c r="J80" s="35"/>
      <c r="K80" s="35"/>
      <c r="L80" s="33"/>
      <c r="M80" s="35"/>
      <c r="N80" s="36" t="str">
        <f aca="false">IF($H80="","",IF($H80="BUENO",1,IF($H80="REGULAR",0.75,IF($H80="MALO",0.4,0.05))))</f>
        <v/>
      </c>
      <c r="O80" s="37" t="str">
        <f aca="false">IF($I80="","",MAX(0,1-$I80))</f>
        <v/>
      </c>
      <c r="P80" s="38" t="str">
        <f aca="false">IF(OR($M80="",$N80="",$O80=""),"",$M80*$O80*$N80)</f>
        <v/>
      </c>
      <c r="Q80" s="35"/>
      <c r="R80" s="38" t="str">
        <f aca="false">IF($Q80="","",$Q80-$K80)</f>
        <v/>
      </c>
      <c r="S80" s="17" t="str">
        <f aca="false">IF($R80="","",IF($R80&gt;0,"VALORIZACION",IF($R80&lt;0,"DESVALORIZACION","SIN_CAMBIO")))</f>
        <v/>
      </c>
      <c r="T80" s="39"/>
      <c r="U80" s="33"/>
      <c r="V80" s="40"/>
      <c r="W80" s="33"/>
    </row>
    <row r="81" customFormat="false" ht="15" hidden="false" customHeight="false" outlineLevel="0" collapsed="false">
      <c r="A81" s="33"/>
      <c r="B81" s="33"/>
      <c r="C81" s="33"/>
      <c r="D81" s="33"/>
      <c r="E81" s="33"/>
      <c r="F81" s="33"/>
      <c r="G81" s="33"/>
      <c r="H81" s="33"/>
      <c r="I81" s="34"/>
      <c r="J81" s="35"/>
      <c r="K81" s="35"/>
      <c r="L81" s="33"/>
      <c r="M81" s="35"/>
      <c r="N81" s="36" t="str">
        <f aca="false">IF($H81="","",IF($H81="BUENO",1,IF($H81="REGULAR",0.75,IF($H81="MALO",0.4,0.05))))</f>
        <v/>
      </c>
      <c r="O81" s="37" t="str">
        <f aca="false">IF($I81="","",MAX(0,1-$I81))</f>
        <v/>
      </c>
      <c r="P81" s="38" t="str">
        <f aca="false">IF(OR($M81="",$N81="",$O81=""),"",$M81*$O81*$N81)</f>
        <v/>
      </c>
      <c r="Q81" s="35"/>
      <c r="R81" s="38" t="str">
        <f aca="false">IF($Q81="","",$Q81-$K81)</f>
        <v/>
      </c>
      <c r="S81" s="17" t="str">
        <f aca="false">IF($R81="","",IF($R81&gt;0,"VALORIZACION",IF($R81&lt;0,"DESVALORIZACION","SIN_CAMBIO")))</f>
        <v/>
      </c>
      <c r="T81" s="39"/>
      <c r="U81" s="33"/>
      <c r="V81" s="40"/>
      <c r="W81" s="33"/>
    </row>
    <row r="82" customFormat="false" ht="15" hidden="false" customHeight="false" outlineLevel="0" collapsed="false">
      <c r="A82" s="33"/>
      <c r="B82" s="33"/>
      <c r="C82" s="33"/>
      <c r="D82" s="33"/>
      <c r="E82" s="33"/>
      <c r="F82" s="33"/>
      <c r="G82" s="33"/>
      <c r="H82" s="33"/>
      <c r="I82" s="34"/>
      <c r="J82" s="35"/>
      <c r="K82" s="35"/>
      <c r="L82" s="33"/>
      <c r="M82" s="35"/>
      <c r="N82" s="36" t="str">
        <f aca="false">IF($H82="","",IF($H82="BUENO",1,IF($H82="REGULAR",0.75,IF($H82="MALO",0.4,0.05))))</f>
        <v/>
      </c>
      <c r="O82" s="37" t="str">
        <f aca="false">IF($I82="","",MAX(0,1-$I82))</f>
        <v/>
      </c>
      <c r="P82" s="38" t="str">
        <f aca="false">IF(OR($M82="",$N82="",$O82=""),"",$M82*$O82*$N82)</f>
        <v/>
      </c>
      <c r="Q82" s="35"/>
      <c r="R82" s="38" t="str">
        <f aca="false">IF($Q82="","",$Q82-$K82)</f>
        <v/>
      </c>
      <c r="S82" s="17" t="str">
        <f aca="false">IF($R82="","",IF($R82&gt;0,"VALORIZACION",IF($R82&lt;0,"DESVALORIZACION","SIN_CAMBIO")))</f>
        <v/>
      </c>
      <c r="T82" s="39"/>
      <c r="U82" s="33"/>
      <c r="V82" s="40"/>
      <c r="W82" s="33"/>
    </row>
    <row r="83" customFormat="false" ht="15" hidden="false" customHeight="false" outlineLevel="0" collapsed="false">
      <c r="A83" s="33"/>
      <c r="B83" s="33"/>
      <c r="C83" s="33"/>
      <c r="D83" s="33"/>
      <c r="E83" s="33"/>
      <c r="F83" s="33"/>
      <c r="G83" s="33"/>
      <c r="H83" s="33"/>
      <c r="I83" s="34"/>
      <c r="J83" s="35"/>
      <c r="K83" s="35"/>
      <c r="L83" s="33"/>
      <c r="M83" s="35"/>
      <c r="N83" s="36" t="str">
        <f aca="false">IF($H83="","",IF($H83="BUENO",1,IF($H83="REGULAR",0.75,IF($H83="MALO",0.4,0.05))))</f>
        <v/>
      </c>
      <c r="O83" s="37" t="str">
        <f aca="false">IF($I83="","",MAX(0,1-$I83))</f>
        <v/>
      </c>
      <c r="P83" s="38" t="str">
        <f aca="false">IF(OR($M83="",$N83="",$O83=""),"",$M83*$O83*$N83)</f>
        <v/>
      </c>
      <c r="Q83" s="35"/>
      <c r="R83" s="38" t="str">
        <f aca="false">IF($Q83="","",$Q83-$K83)</f>
        <v/>
      </c>
      <c r="S83" s="17" t="str">
        <f aca="false">IF($R83="","",IF($R83&gt;0,"VALORIZACION",IF($R83&lt;0,"DESVALORIZACION","SIN_CAMBIO")))</f>
        <v/>
      </c>
      <c r="T83" s="39"/>
      <c r="U83" s="33"/>
      <c r="V83" s="40"/>
      <c r="W83" s="33"/>
    </row>
    <row r="84" customFormat="false" ht="15" hidden="false" customHeight="false" outlineLevel="0" collapsed="false">
      <c r="A84" s="33"/>
      <c r="B84" s="33"/>
      <c r="C84" s="33"/>
      <c r="D84" s="33"/>
      <c r="E84" s="33"/>
      <c r="F84" s="33"/>
      <c r="G84" s="33"/>
      <c r="H84" s="33"/>
      <c r="I84" s="34"/>
      <c r="J84" s="35"/>
      <c r="K84" s="35"/>
      <c r="L84" s="33"/>
      <c r="M84" s="35"/>
      <c r="N84" s="36" t="str">
        <f aca="false">IF($H84="","",IF($H84="BUENO",1,IF($H84="REGULAR",0.75,IF($H84="MALO",0.4,0.05))))</f>
        <v/>
      </c>
      <c r="O84" s="37" t="str">
        <f aca="false">IF($I84="","",MAX(0,1-$I84))</f>
        <v/>
      </c>
      <c r="P84" s="38" t="str">
        <f aca="false">IF(OR($M84="",$N84="",$O84=""),"",$M84*$O84*$N84)</f>
        <v/>
      </c>
      <c r="Q84" s="35"/>
      <c r="R84" s="38" t="str">
        <f aca="false">IF($Q84="","",$Q84-$K84)</f>
        <v/>
      </c>
      <c r="S84" s="17" t="str">
        <f aca="false">IF($R84="","",IF($R84&gt;0,"VALORIZACION",IF($R84&lt;0,"DESVALORIZACION","SIN_CAMBIO")))</f>
        <v/>
      </c>
      <c r="T84" s="39"/>
      <c r="U84" s="33"/>
      <c r="V84" s="40"/>
      <c r="W84" s="33"/>
    </row>
    <row r="85" customFormat="false" ht="15" hidden="false" customHeight="false" outlineLevel="0" collapsed="false">
      <c r="A85" s="33"/>
      <c r="B85" s="33"/>
      <c r="C85" s="33"/>
      <c r="D85" s="33"/>
      <c r="E85" s="33"/>
      <c r="F85" s="33"/>
      <c r="G85" s="33"/>
      <c r="H85" s="33"/>
      <c r="I85" s="34"/>
      <c r="J85" s="35"/>
      <c r="K85" s="35"/>
      <c r="L85" s="33"/>
      <c r="M85" s="35"/>
      <c r="N85" s="36" t="str">
        <f aca="false">IF($H85="","",IF($H85="BUENO",1,IF($H85="REGULAR",0.75,IF($H85="MALO",0.4,0.05))))</f>
        <v/>
      </c>
      <c r="O85" s="37" t="str">
        <f aca="false">IF($I85="","",MAX(0,1-$I85))</f>
        <v/>
      </c>
      <c r="P85" s="38" t="str">
        <f aca="false">IF(OR($M85="",$N85="",$O85=""),"",$M85*$O85*$N85)</f>
        <v/>
      </c>
      <c r="Q85" s="35"/>
      <c r="R85" s="38" t="str">
        <f aca="false">IF($Q85="","",$Q85-$K85)</f>
        <v/>
      </c>
      <c r="S85" s="17" t="str">
        <f aca="false">IF($R85="","",IF($R85&gt;0,"VALORIZACION",IF($R85&lt;0,"DESVALORIZACION","SIN_CAMBIO")))</f>
        <v/>
      </c>
      <c r="T85" s="39"/>
      <c r="U85" s="33"/>
      <c r="V85" s="40"/>
      <c r="W85" s="33"/>
    </row>
    <row r="86" customFormat="false" ht="15" hidden="false" customHeight="false" outlineLevel="0" collapsed="false">
      <c r="A86" s="33"/>
      <c r="B86" s="33"/>
      <c r="C86" s="33"/>
      <c r="D86" s="33"/>
      <c r="E86" s="33"/>
      <c r="F86" s="33"/>
      <c r="G86" s="33"/>
      <c r="H86" s="33"/>
      <c r="I86" s="34"/>
      <c r="J86" s="35"/>
      <c r="K86" s="35"/>
      <c r="L86" s="33"/>
      <c r="M86" s="35"/>
      <c r="N86" s="36" t="str">
        <f aca="false">IF($H86="","",IF($H86="BUENO",1,IF($H86="REGULAR",0.75,IF($H86="MALO",0.4,0.05))))</f>
        <v/>
      </c>
      <c r="O86" s="37" t="str">
        <f aca="false">IF($I86="","",MAX(0,1-$I86))</f>
        <v/>
      </c>
      <c r="P86" s="38" t="str">
        <f aca="false">IF(OR($M86="",$N86="",$O86=""),"",$M86*$O86*$N86)</f>
        <v/>
      </c>
      <c r="Q86" s="35"/>
      <c r="R86" s="38" t="str">
        <f aca="false">IF($Q86="","",$Q86-$K86)</f>
        <v/>
      </c>
      <c r="S86" s="17" t="str">
        <f aca="false">IF($R86="","",IF($R86&gt;0,"VALORIZACION",IF($R86&lt;0,"DESVALORIZACION","SIN_CAMBIO")))</f>
        <v/>
      </c>
      <c r="T86" s="39"/>
      <c r="U86" s="33"/>
      <c r="V86" s="40"/>
      <c r="W86" s="33"/>
    </row>
    <row r="87" customFormat="false" ht="15" hidden="false" customHeight="false" outlineLevel="0" collapsed="false">
      <c r="A87" s="33"/>
      <c r="B87" s="33"/>
      <c r="C87" s="33"/>
      <c r="D87" s="33"/>
      <c r="E87" s="33"/>
      <c r="F87" s="33"/>
      <c r="G87" s="33"/>
      <c r="H87" s="33"/>
      <c r="I87" s="34"/>
      <c r="J87" s="35"/>
      <c r="K87" s="35"/>
      <c r="L87" s="33"/>
      <c r="M87" s="35"/>
      <c r="N87" s="36" t="str">
        <f aca="false">IF($H87="","",IF($H87="BUENO",1,IF($H87="REGULAR",0.75,IF($H87="MALO",0.4,0.05))))</f>
        <v/>
      </c>
      <c r="O87" s="37" t="str">
        <f aca="false">IF($I87="","",MAX(0,1-$I87))</f>
        <v/>
      </c>
      <c r="P87" s="38" t="str">
        <f aca="false">IF(OR($M87="",$N87="",$O87=""),"",$M87*$O87*$N87)</f>
        <v/>
      </c>
      <c r="Q87" s="35"/>
      <c r="R87" s="38" t="str">
        <f aca="false">IF($Q87="","",$Q87-$K87)</f>
        <v/>
      </c>
      <c r="S87" s="17" t="str">
        <f aca="false">IF($R87="","",IF($R87&gt;0,"VALORIZACION",IF($R87&lt;0,"DESVALORIZACION","SIN_CAMBIO")))</f>
        <v/>
      </c>
      <c r="T87" s="39"/>
      <c r="U87" s="33"/>
      <c r="V87" s="40"/>
      <c r="W87" s="33"/>
    </row>
    <row r="88" customFormat="false" ht="15" hidden="false" customHeight="false" outlineLevel="0" collapsed="false">
      <c r="A88" s="33"/>
      <c r="B88" s="33"/>
      <c r="C88" s="33"/>
      <c r="D88" s="33"/>
      <c r="E88" s="33"/>
      <c r="F88" s="33"/>
      <c r="G88" s="33"/>
      <c r="H88" s="33"/>
      <c r="I88" s="34"/>
      <c r="J88" s="35"/>
      <c r="K88" s="35"/>
      <c r="L88" s="33"/>
      <c r="M88" s="35"/>
      <c r="N88" s="36" t="str">
        <f aca="false">IF($H88="","",IF($H88="BUENO",1,IF($H88="REGULAR",0.75,IF($H88="MALO",0.4,0.05))))</f>
        <v/>
      </c>
      <c r="O88" s="37" t="str">
        <f aca="false">IF($I88="","",MAX(0,1-$I88))</f>
        <v/>
      </c>
      <c r="P88" s="38" t="str">
        <f aca="false">IF(OR($M88="",$N88="",$O88=""),"",$M88*$O88*$N88)</f>
        <v/>
      </c>
      <c r="Q88" s="35"/>
      <c r="R88" s="38" t="str">
        <f aca="false">IF($Q88="","",$Q88-$K88)</f>
        <v/>
      </c>
      <c r="S88" s="17" t="str">
        <f aca="false">IF($R88="","",IF($R88&gt;0,"VALORIZACION",IF($R88&lt;0,"DESVALORIZACION","SIN_CAMBIO")))</f>
        <v/>
      </c>
      <c r="T88" s="39"/>
      <c r="U88" s="33"/>
      <c r="V88" s="40"/>
      <c r="W88" s="33"/>
    </row>
    <row r="89" customFormat="false" ht="15" hidden="false" customHeight="false" outlineLevel="0" collapsed="false">
      <c r="A89" s="33"/>
      <c r="B89" s="33"/>
      <c r="C89" s="33"/>
      <c r="D89" s="33"/>
      <c r="E89" s="33"/>
      <c r="F89" s="33"/>
      <c r="G89" s="33"/>
      <c r="H89" s="33"/>
      <c r="I89" s="34"/>
      <c r="J89" s="35"/>
      <c r="K89" s="35"/>
      <c r="L89" s="33"/>
      <c r="M89" s="35"/>
      <c r="N89" s="36" t="str">
        <f aca="false">IF($H89="","",IF($H89="BUENO",1,IF($H89="REGULAR",0.75,IF($H89="MALO",0.4,0.05))))</f>
        <v/>
      </c>
      <c r="O89" s="37" t="str">
        <f aca="false">IF($I89="","",MAX(0,1-$I89))</f>
        <v/>
      </c>
      <c r="P89" s="38" t="str">
        <f aca="false">IF(OR($M89="",$N89="",$O89=""),"",$M89*$O89*$N89)</f>
        <v/>
      </c>
      <c r="Q89" s="35"/>
      <c r="R89" s="38" t="str">
        <f aca="false">IF($Q89="","",$Q89-$K89)</f>
        <v/>
      </c>
      <c r="S89" s="17" t="str">
        <f aca="false">IF($R89="","",IF($R89&gt;0,"VALORIZACION",IF($R89&lt;0,"DESVALORIZACION","SIN_CAMBIO")))</f>
        <v/>
      </c>
      <c r="T89" s="39"/>
      <c r="U89" s="33"/>
      <c r="V89" s="40"/>
      <c r="W89" s="33"/>
    </row>
    <row r="90" customFormat="false" ht="15" hidden="false" customHeight="false" outlineLevel="0" collapsed="false">
      <c r="A90" s="33"/>
      <c r="B90" s="33"/>
      <c r="C90" s="33"/>
      <c r="D90" s="33"/>
      <c r="E90" s="33"/>
      <c r="F90" s="33"/>
      <c r="G90" s="33"/>
      <c r="H90" s="33"/>
      <c r="I90" s="34"/>
      <c r="J90" s="35"/>
      <c r="K90" s="35"/>
      <c r="L90" s="33"/>
      <c r="M90" s="35"/>
      <c r="N90" s="36" t="str">
        <f aca="false">IF($H90="","",IF($H90="BUENO",1,IF($H90="REGULAR",0.75,IF($H90="MALO",0.4,0.05))))</f>
        <v/>
      </c>
      <c r="O90" s="37" t="str">
        <f aca="false">IF($I90="","",MAX(0,1-$I90))</f>
        <v/>
      </c>
      <c r="P90" s="38" t="str">
        <f aca="false">IF(OR($M90="",$N90="",$O90=""),"",$M90*$O90*$N90)</f>
        <v/>
      </c>
      <c r="Q90" s="35"/>
      <c r="R90" s="38" t="str">
        <f aca="false">IF($Q90="","",$Q90-$K90)</f>
        <v/>
      </c>
      <c r="S90" s="17" t="str">
        <f aca="false">IF($R90="","",IF($R90&gt;0,"VALORIZACION",IF($R90&lt;0,"DESVALORIZACION","SIN_CAMBIO")))</f>
        <v/>
      </c>
      <c r="T90" s="39"/>
      <c r="U90" s="33"/>
      <c r="V90" s="40"/>
      <c r="W90" s="33"/>
    </row>
    <row r="91" customFormat="false" ht="15" hidden="false" customHeight="false" outlineLevel="0" collapsed="false">
      <c r="A91" s="33"/>
      <c r="B91" s="33"/>
      <c r="C91" s="33"/>
      <c r="D91" s="33"/>
      <c r="E91" s="33"/>
      <c r="F91" s="33"/>
      <c r="G91" s="33"/>
      <c r="H91" s="33"/>
      <c r="I91" s="34"/>
      <c r="J91" s="35"/>
      <c r="K91" s="35"/>
      <c r="L91" s="33"/>
      <c r="M91" s="35"/>
      <c r="N91" s="36" t="str">
        <f aca="false">IF($H91="","",IF($H91="BUENO",1,IF($H91="REGULAR",0.75,IF($H91="MALO",0.4,0.05))))</f>
        <v/>
      </c>
      <c r="O91" s="37" t="str">
        <f aca="false">IF($I91="","",MAX(0,1-$I91))</f>
        <v/>
      </c>
      <c r="P91" s="38" t="str">
        <f aca="false">IF(OR($M91="",$N91="",$O91=""),"",$M91*$O91*$N91)</f>
        <v/>
      </c>
      <c r="Q91" s="35"/>
      <c r="R91" s="38" t="str">
        <f aca="false">IF($Q91="","",$Q91-$K91)</f>
        <v/>
      </c>
      <c r="S91" s="17" t="str">
        <f aca="false">IF($R91="","",IF($R91&gt;0,"VALORIZACION",IF($R91&lt;0,"DESVALORIZACION","SIN_CAMBIO")))</f>
        <v/>
      </c>
      <c r="T91" s="39"/>
      <c r="U91" s="33"/>
      <c r="V91" s="40"/>
      <c r="W91" s="33"/>
    </row>
    <row r="92" customFormat="false" ht="15" hidden="false" customHeight="false" outlineLevel="0" collapsed="false">
      <c r="A92" s="33"/>
      <c r="B92" s="33"/>
      <c r="C92" s="33"/>
      <c r="D92" s="33"/>
      <c r="E92" s="33"/>
      <c r="F92" s="33"/>
      <c r="G92" s="33"/>
      <c r="H92" s="33"/>
      <c r="I92" s="34"/>
      <c r="J92" s="35"/>
      <c r="K92" s="35"/>
      <c r="L92" s="33"/>
      <c r="M92" s="35"/>
      <c r="N92" s="36" t="str">
        <f aca="false">IF($H92="","",IF($H92="BUENO",1,IF($H92="REGULAR",0.75,IF($H92="MALO",0.4,0.05))))</f>
        <v/>
      </c>
      <c r="O92" s="37" t="str">
        <f aca="false">IF($I92="","",MAX(0,1-$I92))</f>
        <v/>
      </c>
      <c r="P92" s="38" t="str">
        <f aca="false">IF(OR($M92="",$N92="",$O92=""),"",$M92*$O92*$N92)</f>
        <v/>
      </c>
      <c r="Q92" s="35"/>
      <c r="R92" s="38" t="str">
        <f aca="false">IF($Q92="","",$Q92-$K92)</f>
        <v/>
      </c>
      <c r="S92" s="17" t="str">
        <f aca="false">IF($R92="","",IF($R92&gt;0,"VALORIZACION",IF($R92&lt;0,"DESVALORIZACION","SIN_CAMBIO")))</f>
        <v/>
      </c>
      <c r="T92" s="39"/>
      <c r="U92" s="33"/>
      <c r="V92" s="40"/>
      <c r="W92" s="33"/>
    </row>
    <row r="93" customFormat="false" ht="15" hidden="false" customHeight="false" outlineLevel="0" collapsed="false">
      <c r="A93" s="33"/>
      <c r="B93" s="33"/>
      <c r="C93" s="33"/>
      <c r="D93" s="33"/>
      <c r="E93" s="33"/>
      <c r="F93" s="33"/>
      <c r="G93" s="33"/>
      <c r="H93" s="33"/>
      <c r="I93" s="34"/>
      <c r="J93" s="35"/>
      <c r="K93" s="35"/>
      <c r="L93" s="33"/>
      <c r="M93" s="35"/>
      <c r="N93" s="36" t="str">
        <f aca="false">IF($H93="","",IF($H93="BUENO",1,IF($H93="REGULAR",0.75,IF($H93="MALO",0.4,0.05))))</f>
        <v/>
      </c>
      <c r="O93" s="37" t="str">
        <f aca="false">IF($I93="","",MAX(0,1-$I93))</f>
        <v/>
      </c>
      <c r="P93" s="38" t="str">
        <f aca="false">IF(OR($M93="",$N93="",$O93=""),"",$M93*$O93*$N93)</f>
        <v/>
      </c>
      <c r="Q93" s="35"/>
      <c r="R93" s="38" t="str">
        <f aca="false">IF($Q93="","",$Q93-$K93)</f>
        <v/>
      </c>
      <c r="S93" s="17" t="str">
        <f aca="false">IF($R93="","",IF($R93&gt;0,"VALORIZACION",IF($R93&lt;0,"DESVALORIZACION","SIN_CAMBIO")))</f>
        <v/>
      </c>
      <c r="T93" s="39"/>
      <c r="U93" s="33"/>
      <c r="V93" s="40"/>
      <c r="W93" s="33"/>
    </row>
    <row r="94" customFormat="false" ht="15" hidden="false" customHeight="false" outlineLevel="0" collapsed="false">
      <c r="A94" s="33"/>
      <c r="B94" s="33"/>
      <c r="C94" s="33"/>
      <c r="D94" s="33"/>
      <c r="E94" s="33"/>
      <c r="F94" s="33"/>
      <c r="G94" s="33"/>
      <c r="H94" s="33"/>
      <c r="I94" s="34"/>
      <c r="J94" s="35"/>
      <c r="K94" s="35"/>
      <c r="L94" s="33"/>
      <c r="M94" s="35"/>
      <c r="N94" s="36" t="str">
        <f aca="false">IF($H94="","",IF($H94="BUENO",1,IF($H94="REGULAR",0.75,IF($H94="MALO",0.4,0.05))))</f>
        <v/>
      </c>
      <c r="O94" s="37" t="str">
        <f aca="false">IF($I94="","",MAX(0,1-$I94))</f>
        <v/>
      </c>
      <c r="P94" s="38" t="str">
        <f aca="false">IF(OR($M94="",$N94="",$O94=""),"",$M94*$O94*$N94)</f>
        <v/>
      </c>
      <c r="Q94" s="35"/>
      <c r="R94" s="38" t="str">
        <f aca="false">IF($Q94="","",$Q94-$K94)</f>
        <v/>
      </c>
      <c r="S94" s="17" t="str">
        <f aca="false">IF($R94="","",IF($R94&gt;0,"VALORIZACION",IF($R94&lt;0,"DESVALORIZACION","SIN_CAMBIO")))</f>
        <v/>
      </c>
      <c r="T94" s="39"/>
      <c r="U94" s="33"/>
      <c r="V94" s="40"/>
      <c r="W94" s="33"/>
    </row>
    <row r="95" customFormat="false" ht="15" hidden="false" customHeight="false" outlineLevel="0" collapsed="false">
      <c r="A95" s="33"/>
      <c r="B95" s="33"/>
      <c r="C95" s="33"/>
      <c r="D95" s="33"/>
      <c r="E95" s="33"/>
      <c r="F95" s="33"/>
      <c r="G95" s="33"/>
      <c r="H95" s="33"/>
      <c r="I95" s="34"/>
      <c r="J95" s="35"/>
      <c r="K95" s="35"/>
      <c r="L95" s="33"/>
      <c r="M95" s="35"/>
      <c r="N95" s="36" t="str">
        <f aca="false">IF($H95="","",IF($H95="BUENO",1,IF($H95="REGULAR",0.75,IF($H95="MALO",0.4,0.05))))</f>
        <v/>
      </c>
      <c r="O95" s="37" t="str">
        <f aca="false">IF($I95="","",MAX(0,1-$I95))</f>
        <v/>
      </c>
      <c r="P95" s="38" t="str">
        <f aca="false">IF(OR($M95="",$N95="",$O95=""),"",$M95*$O95*$N95)</f>
        <v/>
      </c>
      <c r="Q95" s="35"/>
      <c r="R95" s="38" t="str">
        <f aca="false">IF($Q95="","",$Q95-$K95)</f>
        <v/>
      </c>
      <c r="S95" s="17" t="str">
        <f aca="false">IF($R95="","",IF($R95&gt;0,"VALORIZACION",IF($R95&lt;0,"DESVALORIZACION","SIN_CAMBIO")))</f>
        <v/>
      </c>
      <c r="T95" s="39"/>
      <c r="U95" s="33"/>
      <c r="V95" s="40"/>
      <c r="W95" s="33"/>
    </row>
    <row r="96" customFormat="false" ht="15" hidden="false" customHeight="false" outlineLevel="0" collapsed="false">
      <c r="A96" s="33"/>
      <c r="B96" s="33"/>
      <c r="C96" s="33"/>
      <c r="D96" s="33"/>
      <c r="E96" s="33"/>
      <c r="F96" s="33"/>
      <c r="G96" s="33"/>
      <c r="H96" s="33"/>
      <c r="I96" s="34"/>
      <c r="J96" s="35"/>
      <c r="K96" s="35"/>
      <c r="L96" s="33"/>
      <c r="M96" s="35"/>
      <c r="N96" s="36" t="str">
        <f aca="false">IF($H96="","",IF($H96="BUENO",1,IF($H96="REGULAR",0.75,IF($H96="MALO",0.4,0.05))))</f>
        <v/>
      </c>
      <c r="O96" s="37" t="str">
        <f aca="false">IF($I96="","",MAX(0,1-$I96))</f>
        <v/>
      </c>
      <c r="P96" s="38" t="str">
        <f aca="false">IF(OR($M96="",$N96="",$O96=""),"",$M96*$O96*$N96)</f>
        <v/>
      </c>
      <c r="Q96" s="35"/>
      <c r="R96" s="38" t="str">
        <f aca="false">IF($Q96="","",$Q96-$K96)</f>
        <v/>
      </c>
      <c r="S96" s="17" t="str">
        <f aca="false">IF($R96="","",IF($R96&gt;0,"VALORIZACION",IF($R96&lt;0,"DESVALORIZACION","SIN_CAMBIO")))</f>
        <v/>
      </c>
      <c r="T96" s="39"/>
      <c r="U96" s="33"/>
      <c r="V96" s="40"/>
      <c r="W96" s="33"/>
    </row>
    <row r="97" customFormat="false" ht="15" hidden="false" customHeight="false" outlineLevel="0" collapsed="false">
      <c r="A97" s="33"/>
      <c r="B97" s="33"/>
      <c r="C97" s="33"/>
      <c r="D97" s="33"/>
      <c r="E97" s="33"/>
      <c r="F97" s="33"/>
      <c r="G97" s="33"/>
      <c r="H97" s="33"/>
      <c r="I97" s="34"/>
      <c r="J97" s="35"/>
      <c r="K97" s="35"/>
      <c r="L97" s="33"/>
      <c r="M97" s="35"/>
      <c r="N97" s="36" t="str">
        <f aca="false">IF($H97="","",IF($H97="BUENO",1,IF($H97="REGULAR",0.75,IF($H97="MALO",0.4,0.05))))</f>
        <v/>
      </c>
      <c r="O97" s="37" t="str">
        <f aca="false">IF($I97="","",MAX(0,1-$I97))</f>
        <v/>
      </c>
      <c r="P97" s="38" t="str">
        <f aca="false">IF(OR($M97="",$N97="",$O97=""),"",$M97*$O97*$N97)</f>
        <v/>
      </c>
      <c r="Q97" s="35"/>
      <c r="R97" s="38" t="str">
        <f aca="false">IF($Q97="","",$Q97-$K97)</f>
        <v/>
      </c>
      <c r="S97" s="17" t="str">
        <f aca="false">IF($R97="","",IF($R97&gt;0,"VALORIZACION",IF($R97&lt;0,"DESVALORIZACION","SIN_CAMBIO")))</f>
        <v/>
      </c>
      <c r="T97" s="39"/>
      <c r="U97" s="33"/>
      <c r="V97" s="40"/>
      <c r="W97" s="33"/>
    </row>
    <row r="98" customFormat="false" ht="15" hidden="false" customHeight="false" outlineLevel="0" collapsed="false">
      <c r="A98" s="33"/>
      <c r="B98" s="33"/>
      <c r="C98" s="33"/>
      <c r="D98" s="33"/>
      <c r="E98" s="33"/>
      <c r="F98" s="33"/>
      <c r="G98" s="33"/>
      <c r="H98" s="33"/>
      <c r="I98" s="34"/>
      <c r="J98" s="35"/>
      <c r="K98" s="35"/>
      <c r="L98" s="33"/>
      <c r="M98" s="35"/>
      <c r="N98" s="36" t="str">
        <f aca="false">IF($H98="","",IF($H98="BUENO",1,IF($H98="REGULAR",0.75,IF($H98="MALO",0.4,0.05))))</f>
        <v/>
      </c>
      <c r="O98" s="37" t="str">
        <f aca="false">IF($I98="","",MAX(0,1-$I98))</f>
        <v/>
      </c>
      <c r="P98" s="38" t="str">
        <f aca="false">IF(OR($M98="",$N98="",$O98=""),"",$M98*$O98*$N98)</f>
        <v/>
      </c>
      <c r="Q98" s="35"/>
      <c r="R98" s="38" t="str">
        <f aca="false">IF($Q98="","",$Q98-$K98)</f>
        <v/>
      </c>
      <c r="S98" s="17" t="str">
        <f aca="false">IF($R98="","",IF($R98&gt;0,"VALORIZACION",IF($R98&lt;0,"DESVALORIZACION","SIN_CAMBIO")))</f>
        <v/>
      </c>
      <c r="T98" s="39"/>
      <c r="U98" s="33"/>
      <c r="V98" s="40"/>
      <c r="W98" s="33"/>
    </row>
    <row r="99" customFormat="false" ht="15" hidden="false" customHeight="false" outlineLevel="0" collapsed="false">
      <c r="A99" s="33"/>
      <c r="B99" s="33"/>
      <c r="C99" s="33"/>
      <c r="D99" s="33"/>
      <c r="E99" s="33"/>
      <c r="F99" s="33"/>
      <c r="G99" s="33"/>
      <c r="H99" s="33"/>
      <c r="I99" s="34"/>
      <c r="J99" s="35"/>
      <c r="K99" s="35"/>
      <c r="L99" s="33"/>
      <c r="M99" s="35"/>
      <c r="N99" s="36" t="str">
        <f aca="false">IF($H99="","",IF($H99="BUENO",1,IF($H99="REGULAR",0.75,IF($H99="MALO",0.4,0.05))))</f>
        <v/>
      </c>
      <c r="O99" s="37" t="str">
        <f aca="false">IF($I99="","",MAX(0,1-$I99))</f>
        <v/>
      </c>
      <c r="P99" s="38" t="str">
        <f aca="false">IF(OR($M99="",$N99="",$O99=""),"",$M99*$O99*$N99)</f>
        <v/>
      </c>
      <c r="Q99" s="35"/>
      <c r="R99" s="38" t="str">
        <f aca="false">IF($Q99="","",$Q99-$K99)</f>
        <v/>
      </c>
      <c r="S99" s="17" t="str">
        <f aca="false">IF($R99="","",IF($R99&gt;0,"VALORIZACION",IF($R99&lt;0,"DESVALORIZACION","SIN_CAMBIO")))</f>
        <v/>
      </c>
      <c r="T99" s="39"/>
      <c r="U99" s="33"/>
      <c r="V99" s="40"/>
      <c r="W99" s="33"/>
    </row>
    <row r="100" customFormat="false" ht="15" hidden="false" customHeight="false" outlineLevel="0" collapsed="false">
      <c r="A100" s="33"/>
      <c r="B100" s="33"/>
      <c r="C100" s="33"/>
      <c r="D100" s="33"/>
      <c r="E100" s="33"/>
      <c r="F100" s="33"/>
      <c r="G100" s="33"/>
      <c r="H100" s="33"/>
      <c r="I100" s="34"/>
      <c r="J100" s="35"/>
      <c r="K100" s="35"/>
      <c r="L100" s="33"/>
      <c r="M100" s="35"/>
      <c r="N100" s="36" t="str">
        <f aca="false">IF($H100="","",IF($H100="BUENO",1,IF($H100="REGULAR",0.75,IF($H100="MALO",0.4,0.05))))</f>
        <v/>
      </c>
      <c r="O100" s="37" t="str">
        <f aca="false">IF($I100="","",MAX(0,1-$I100))</f>
        <v/>
      </c>
      <c r="P100" s="38" t="str">
        <f aca="false">IF(OR($M100="",$N100="",$O100=""),"",$M100*$O100*$N100)</f>
        <v/>
      </c>
      <c r="Q100" s="35"/>
      <c r="R100" s="38" t="str">
        <f aca="false">IF($Q100="","",$Q100-$K100)</f>
        <v/>
      </c>
      <c r="S100" s="17" t="str">
        <f aca="false">IF($R100="","",IF($R100&gt;0,"VALORIZACION",IF($R100&lt;0,"DESVALORIZACION","SIN_CAMBIO")))</f>
        <v/>
      </c>
      <c r="T100" s="39"/>
      <c r="U100" s="33"/>
      <c r="V100" s="40"/>
      <c r="W100" s="33"/>
    </row>
    <row r="101" customFormat="false" ht="15" hidden="false" customHeight="false" outlineLevel="0" collapsed="false">
      <c r="A101" s="33"/>
      <c r="B101" s="33"/>
      <c r="C101" s="33"/>
      <c r="D101" s="33"/>
      <c r="E101" s="33"/>
      <c r="F101" s="33"/>
      <c r="G101" s="33"/>
      <c r="H101" s="33"/>
      <c r="I101" s="34"/>
      <c r="J101" s="35"/>
      <c r="K101" s="35"/>
      <c r="L101" s="33"/>
      <c r="M101" s="35"/>
      <c r="N101" s="36" t="str">
        <f aca="false">IF($H101="","",IF($H101="BUENO",1,IF($H101="REGULAR",0.75,IF($H101="MALO",0.4,0.05))))</f>
        <v/>
      </c>
      <c r="O101" s="37" t="str">
        <f aca="false">IF($I101="","",MAX(0,1-$I101))</f>
        <v/>
      </c>
      <c r="P101" s="38" t="str">
        <f aca="false">IF(OR($M101="",$N101="",$O101=""),"",$M101*$O101*$N101)</f>
        <v/>
      </c>
      <c r="Q101" s="35"/>
      <c r="R101" s="38" t="str">
        <f aca="false">IF($Q101="","",$Q101-$K101)</f>
        <v/>
      </c>
      <c r="S101" s="17" t="str">
        <f aca="false">IF($R101="","",IF($R101&gt;0,"VALORIZACION",IF($R101&lt;0,"DESVALORIZACION","SIN_CAMBIO")))</f>
        <v/>
      </c>
      <c r="T101" s="39"/>
      <c r="U101" s="33"/>
      <c r="V101" s="40"/>
      <c r="W101" s="33"/>
    </row>
    <row r="102" customFormat="false" ht="15" hidden="false" customHeight="false" outlineLevel="0" collapsed="false">
      <c r="A102" s="33"/>
      <c r="B102" s="33"/>
      <c r="C102" s="33"/>
      <c r="D102" s="33"/>
      <c r="E102" s="33"/>
      <c r="F102" s="33"/>
      <c r="G102" s="33"/>
      <c r="H102" s="33"/>
      <c r="I102" s="34"/>
      <c r="J102" s="35"/>
      <c r="K102" s="35"/>
      <c r="L102" s="33"/>
      <c r="M102" s="35"/>
      <c r="N102" s="36" t="str">
        <f aca="false">IF($H102="","",IF($H102="BUENO",1,IF($H102="REGULAR",0.75,IF($H102="MALO",0.4,0.05))))</f>
        <v/>
      </c>
      <c r="O102" s="37" t="str">
        <f aca="false">IF($I102="","",MAX(0,1-$I102))</f>
        <v/>
      </c>
      <c r="P102" s="38" t="str">
        <f aca="false">IF(OR($M102="",$N102="",$O102=""),"",$M102*$O102*$N102)</f>
        <v/>
      </c>
      <c r="Q102" s="35"/>
      <c r="R102" s="38" t="str">
        <f aca="false">IF($Q102="","",$Q102-$K102)</f>
        <v/>
      </c>
      <c r="S102" s="17" t="str">
        <f aca="false">IF($R102="","",IF($R102&gt;0,"VALORIZACION",IF($R102&lt;0,"DESVALORIZACION","SIN_CAMBIO")))</f>
        <v/>
      </c>
      <c r="T102" s="39"/>
      <c r="U102" s="33"/>
      <c r="V102" s="40"/>
      <c r="W102" s="33"/>
    </row>
    <row r="103" customFormat="false" ht="15" hidden="false" customHeight="false" outlineLevel="0" collapsed="false">
      <c r="A103" s="33"/>
      <c r="B103" s="33"/>
      <c r="C103" s="33"/>
      <c r="D103" s="33"/>
      <c r="E103" s="33"/>
      <c r="F103" s="33"/>
      <c r="G103" s="33"/>
      <c r="H103" s="33"/>
      <c r="I103" s="34"/>
      <c r="J103" s="35"/>
      <c r="K103" s="35"/>
      <c r="L103" s="33"/>
      <c r="M103" s="35"/>
      <c r="N103" s="36" t="str">
        <f aca="false">IF($H103="","",IF($H103="BUENO",1,IF($H103="REGULAR",0.75,IF($H103="MALO",0.4,0.05))))</f>
        <v/>
      </c>
      <c r="O103" s="37" t="str">
        <f aca="false">IF($I103="","",MAX(0,1-$I103))</f>
        <v/>
      </c>
      <c r="P103" s="38" t="str">
        <f aca="false">IF(OR($M103="",$N103="",$O103=""),"",$M103*$O103*$N103)</f>
        <v/>
      </c>
      <c r="Q103" s="35"/>
      <c r="R103" s="38" t="str">
        <f aca="false">IF($Q103="","",$Q103-$K103)</f>
        <v/>
      </c>
      <c r="S103" s="17" t="str">
        <f aca="false">IF($R103="","",IF($R103&gt;0,"VALORIZACION",IF($R103&lt;0,"DESVALORIZACION","SIN_CAMBIO")))</f>
        <v/>
      </c>
      <c r="T103" s="39"/>
      <c r="U103" s="33"/>
      <c r="V103" s="40"/>
      <c r="W103" s="33"/>
    </row>
    <row r="104" customFormat="false" ht="15" hidden="false" customHeight="false" outlineLevel="0" collapsed="false">
      <c r="A104" s="33"/>
      <c r="B104" s="33"/>
      <c r="C104" s="33"/>
      <c r="D104" s="33"/>
      <c r="E104" s="33"/>
      <c r="F104" s="33"/>
      <c r="G104" s="33"/>
      <c r="H104" s="33"/>
      <c r="I104" s="34"/>
      <c r="J104" s="35"/>
      <c r="K104" s="35"/>
      <c r="L104" s="33"/>
      <c r="M104" s="35"/>
      <c r="N104" s="36" t="str">
        <f aca="false">IF($H104="","",IF($H104="BUENO",1,IF($H104="REGULAR",0.75,IF($H104="MALO",0.4,0.05))))</f>
        <v/>
      </c>
      <c r="O104" s="37" t="str">
        <f aca="false">IF($I104="","",MAX(0,1-$I104))</f>
        <v/>
      </c>
      <c r="P104" s="38" t="str">
        <f aca="false">IF(OR($M104="",$N104="",$O104=""),"",$M104*$O104*$N104)</f>
        <v/>
      </c>
      <c r="Q104" s="35"/>
      <c r="R104" s="38" t="str">
        <f aca="false">IF($Q104="","",$Q104-$K104)</f>
        <v/>
      </c>
      <c r="S104" s="17" t="str">
        <f aca="false">IF($R104="","",IF($R104&gt;0,"VALORIZACION",IF($R104&lt;0,"DESVALORIZACION","SIN_CAMBIO")))</f>
        <v/>
      </c>
      <c r="T104" s="39"/>
      <c r="U104" s="33"/>
      <c r="V104" s="40"/>
      <c r="W104" s="33"/>
    </row>
    <row r="105" customFormat="false" ht="15" hidden="false" customHeight="false" outlineLevel="0" collapsed="false">
      <c r="A105" s="33"/>
      <c r="B105" s="33"/>
      <c r="C105" s="33"/>
      <c r="D105" s="33"/>
      <c r="E105" s="33"/>
      <c r="F105" s="33"/>
      <c r="G105" s="33"/>
      <c r="H105" s="33"/>
      <c r="I105" s="34"/>
      <c r="J105" s="35"/>
      <c r="K105" s="35"/>
      <c r="L105" s="33"/>
      <c r="M105" s="35"/>
      <c r="N105" s="36" t="str">
        <f aca="false">IF($H105="","",IF($H105="BUENO",1,IF($H105="REGULAR",0.75,IF($H105="MALO",0.4,0.05))))</f>
        <v/>
      </c>
      <c r="O105" s="37" t="str">
        <f aca="false">IF($I105="","",MAX(0,1-$I105))</f>
        <v/>
      </c>
      <c r="P105" s="38" t="str">
        <f aca="false">IF(OR($M105="",$N105="",$O105=""),"",$M105*$O105*$N105)</f>
        <v/>
      </c>
      <c r="Q105" s="35"/>
      <c r="R105" s="38" t="str">
        <f aca="false">IF($Q105="","",$Q105-$K105)</f>
        <v/>
      </c>
      <c r="S105" s="17" t="str">
        <f aca="false">IF($R105="","",IF($R105&gt;0,"VALORIZACION",IF($R105&lt;0,"DESVALORIZACION","SIN_CAMBIO")))</f>
        <v/>
      </c>
      <c r="T105" s="39"/>
      <c r="U105" s="33"/>
      <c r="V105" s="40"/>
      <c r="W105" s="33"/>
    </row>
    <row r="106" customFormat="false" ht="15" hidden="false" customHeight="false" outlineLevel="0" collapsed="false">
      <c r="A106" s="33"/>
      <c r="B106" s="33"/>
      <c r="C106" s="33"/>
      <c r="D106" s="33"/>
      <c r="E106" s="33"/>
      <c r="F106" s="33"/>
      <c r="G106" s="33"/>
      <c r="H106" s="33"/>
      <c r="I106" s="34"/>
      <c r="J106" s="35"/>
      <c r="K106" s="35"/>
      <c r="L106" s="33"/>
      <c r="M106" s="35"/>
      <c r="N106" s="36" t="str">
        <f aca="false">IF($H106="","",IF($H106="BUENO",1,IF($H106="REGULAR",0.75,IF($H106="MALO",0.4,0.05))))</f>
        <v/>
      </c>
      <c r="O106" s="37" t="str">
        <f aca="false">IF($I106="","",MAX(0,1-$I106))</f>
        <v/>
      </c>
      <c r="P106" s="38" t="str">
        <f aca="false">IF(OR($M106="",$N106="",$O106=""),"",$M106*$O106*$N106)</f>
        <v/>
      </c>
      <c r="Q106" s="35"/>
      <c r="R106" s="38" t="str">
        <f aca="false">IF($Q106="","",$Q106-$K106)</f>
        <v/>
      </c>
      <c r="S106" s="17" t="str">
        <f aca="false">IF($R106="","",IF($R106&gt;0,"VALORIZACION",IF($R106&lt;0,"DESVALORIZACION","SIN_CAMBIO")))</f>
        <v/>
      </c>
      <c r="T106" s="39"/>
      <c r="U106" s="33"/>
      <c r="V106" s="40"/>
      <c r="W106" s="33"/>
    </row>
    <row r="107" customFormat="false" ht="15" hidden="false" customHeight="false" outlineLevel="0" collapsed="false">
      <c r="A107" s="33"/>
      <c r="B107" s="33"/>
      <c r="C107" s="33"/>
      <c r="D107" s="33"/>
      <c r="E107" s="33"/>
      <c r="F107" s="33"/>
      <c r="G107" s="33"/>
      <c r="H107" s="33"/>
      <c r="I107" s="34"/>
      <c r="J107" s="35"/>
      <c r="K107" s="35"/>
      <c r="L107" s="33"/>
      <c r="M107" s="35"/>
      <c r="N107" s="36" t="str">
        <f aca="false">IF($H107="","",IF($H107="BUENO",1,IF($H107="REGULAR",0.75,IF($H107="MALO",0.4,0.05))))</f>
        <v/>
      </c>
      <c r="O107" s="37" t="str">
        <f aca="false">IF($I107="","",MAX(0,1-$I107))</f>
        <v/>
      </c>
      <c r="P107" s="38" t="str">
        <f aca="false">IF(OR($M107="",$N107="",$O107=""),"",$M107*$O107*$N107)</f>
        <v/>
      </c>
      <c r="Q107" s="35"/>
      <c r="R107" s="38" t="str">
        <f aca="false">IF($Q107="","",$Q107-$K107)</f>
        <v/>
      </c>
      <c r="S107" s="17" t="str">
        <f aca="false">IF($R107="","",IF($R107&gt;0,"VALORIZACION",IF($R107&lt;0,"DESVALORIZACION","SIN_CAMBIO")))</f>
        <v/>
      </c>
      <c r="T107" s="39"/>
      <c r="U107" s="33"/>
      <c r="V107" s="40"/>
      <c r="W107" s="33"/>
    </row>
    <row r="108" customFormat="false" ht="15" hidden="false" customHeight="false" outlineLevel="0" collapsed="false">
      <c r="A108" s="33"/>
      <c r="B108" s="33"/>
      <c r="C108" s="33"/>
      <c r="D108" s="33"/>
      <c r="E108" s="33"/>
      <c r="F108" s="33"/>
      <c r="G108" s="33"/>
      <c r="H108" s="33"/>
      <c r="I108" s="34"/>
      <c r="J108" s="35"/>
      <c r="K108" s="35"/>
      <c r="L108" s="33"/>
      <c r="M108" s="35"/>
      <c r="N108" s="36" t="str">
        <f aca="false">IF($H108="","",IF($H108="BUENO",1,IF($H108="REGULAR",0.75,IF($H108="MALO",0.4,0.05))))</f>
        <v/>
      </c>
      <c r="O108" s="37" t="str">
        <f aca="false">IF($I108="","",MAX(0,1-$I108))</f>
        <v/>
      </c>
      <c r="P108" s="38" t="str">
        <f aca="false">IF(OR($M108="",$N108="",$O108=""),"",$M108*$O108*$N108)</f>
        <v/>
      </c>
      <c r="Q108" s="35"/>
      <c r="R108" s="38" t="str">
        <f aca="false">IF($Q108="","",$Q108-$K108)</f>
        <v/>
      </c>
      <c r="S108" s="17" t="str">
        <f aca="false">IF($R108="","",IF($R108&gt;0,"VALORIZACION",IF($R108&lt;0,"DESVALORIZACION","SIN_CAMBIO")))</f>
        <v/>
      </c>
      <c r="T108" s="39"/>
      <c r="U108" s="33"/>
      <c r="V108" s="40"/>
      <c r="W108" s="33"/>
    </row>
    <row r="109" customFormat="false" ht="15" hidden="false" customHeight="false" outlineLevel="0" collapsed="false">
      <c r="A109" s="33"/>
      <c r="B109" s="33"/>
      <c r="C109" s="33"/>
      <c r="D109" s="33"/>
      <c r="E109" s="33"/>
      <c r="F109" s="33"/>
      <c r="G109" s="33"/>
      <c r="H109" s="33"/>
      <c r="I109" s="34"/>
      <c r="J109" s="35"/>
      <c r="K109" s="35"/>
      <c r="L109" s="33"/>
      <c r="M109" s="35"/>
      <c r="N109" s="36" t="str">
        <f aca="false">IF($H109="","",IF($H109="BUENO",1,IF($H109="REGULAR",0.75,IF($H109="MALO",0.4,0.05))))</f>
        <v/>
      </c>
      <c r="O109" s="37" t="str">
        <f aca="false">IF($I109="","",MAX(0,1-$I109))</f>
        <v/>
      </c>
      <c r="P109" s="38" t="str">
        <f aca="false">IF(OR($M109="",$N109="",$O109=""),"",$M109*$O109*$N109)</f>
        <v/>
      </c>
      <c r="Q109" s="35"/>
      <c r="R109" s="38" t="str">
        <f aca="false">IF($Q109="","",$Q109-$K109)</f>
        <v/>
      </c>
      <c r="S109" s="17" t="str">
        <f aca="false">IF($R109="","",IF($R109&gt;0,"VALORIZACION",IF($R109&lt;0,"DESVALORIZACION","SIN_CAMBIO")))</f>
        <v/>
      </c>
      <c r="T109" s="39"/>
      <c r="U109" s="33"/>
      <c r="V109" s="40"/>
      <c r="W109" s="33"/>
    </row>
    <row r="110" customFormat="false" ht="15" hidden="false" customHeight="false" outlineLevel="0" collapsed="false">
      <c r="A110" s="33"/>
      <c r="B110" s="33"/>
      <c r="C110" s="33"/>
      <c r="D110" s="33"/>
      <c r="E110" s="33"/>
      <c r="F110" s="33"/>
      <c r="G110" s="33"/>
      <c r="H110" s="33"/>
      <c r="I110" s="34"/>
      <c r="J110" s="35"/>
      <c r="K110" s="35"/>
      <c r="L110" s="33"/>
      <c r="M110" s="35"/>
      <c r="N110" s="36" t="str">
        <f aca="false">IF($H110="","",IF($H110="BUENO",1,IF($H110="REGULAR",0.75,IF($H110="MALO",0.4,0.05))))</f>
        <v/>
      </c>
      <c r="O110" s="37" t="str">
        <f aca="false">IF($I110="","",MAX(0,1-$I110))</f>
        <v/>
      </c>
      <c r="P110" s="38" t="str">
        <f aca="false">IF(OR($M110="",$N110="",$O110=""),"",$M110*$O110*$N110)</f>
        <v/>
      </c>
      <c r="Q110" s="35"/>
      <c r="R110" s="38" t="str">
        <f aca="false">IF($Q110="","",$Q110-$K110)</f>
        <v/>
      </c>
      <c r="S110" s="17" t="str">
        <f aca="false">IF($R110="","",IF($R110&gt;0,"VALORIZACION",IF($R110&lt;0,"DESVALORIZACION","SIN_CAMBIO")))</f>
        <v/>
      </c>
      <c r="T110" s="39"/>
      <c r="U110" s="33"/>
      <c r="V110" s="40"/>
      <c r="W110" s="33"/>
    </row>
    <row r="111" customFormat="false" ht="15" hidden="false" customHeight="false" outlineLevel="0" collapsed="false">
      <c r="A111" s="33"/>
      <c r="B111" s="33"/>
      <c r="C111" s="33"/>
      <c r="D111" s="33"/>
      <c r="E111" s="33"/>
      <c r="F111" s="33"/>
      <c r="G111" s="33"/>
      <c r="H111" s="33"/>
      <c r="I111" s="34"/>
      <c r="J111" s="35"/>
      <c r="K111" s="35"/>
      <c r="L111" s="33"/>
      <c r="M111" s="35"/>
      <c r="N111" s="36" t="str">
        <f aca="false">IF($H111="","",IF($H111="BUENO",1,IF($H111="REGULAR",0.75,IF($H111="MALO",0.4,0.05))))</f>
        <v/>
      </c>
      <c r="O111" s="37" t="str">
        <f aca="false">IF($I111="","",MAX(0,1-$I111))</f>
        <v/>
      </c>
      <c r="P111" s="38" t="str">
        <f aca="false">IF(OR($M111="",$N111="",$O111=""),"",$M111*$O111*$N111)</f>
        <v/>
      </c>
      <c r="Q111" s="35"/>
      <c r="R111" s="38" t="str">
        <f aca="false">IF($Q111="","",$Q111-$K111)</f>
        <v/>
      </c>
      <c r="S111" s="17" t="str">
        <f aca="false">IF($R111="","",IF($R111&gt;0,"VALORIZACION",IF($R111&lt;0,"DESVALORIZACION","SIN_CAMBIO")))</f>
        <v/>
      </c>
      <c r="T111" s="39"/>
      <c r="U111" s="33"/>
      <c r="V111" s="40"/>
      <c r="W111" s="33"/>
    </row>
    <row r="112" customFormat="false" ht="15" hidden="false" customHeight="false" outlineLevel="0" collapsed="false">
      <c r="A112" s="33"/>
      <c r="B112" s="33"/>
      <c r="C112" s="33"/>
      <c r="D112" s="33"/>
      <c r="E112" s="33"/>
      <c r="F112" s="33"/>
      <c r="G112" s="33"/>
      <c r="H112" s="33"/>
      <c r="I112" s="34"/>
      <c r="J112" s="35"/>
      <c r="K112" s="35"/>
      <c r="L112" s="33"/>
      <c r="M112" s="35"/>
      <c r="N112" s="36" t="str">
        <f aca="false">IF($H112="","",IF($H112="BUENO",1,IF($H112="REGULAR",0.75,IF($H112="MALO",0.4,0.05))))</f>
        <v/>
      </c>
      <c r="O112" s="37" t="str">
        <f aca="false">IF($I112="","",MAX(0,1-$I112))</f>
        <v/>
      </c>
      <c r="P112" s="38" t="str">
        <f aca="false">IF(OR($M112="",$N112="",$O112=""),"",$M112*$O112*$N112)</f>
        <v/>
      </c>
      <c r="Q112" s="35"/>
      <c r="R112" s="38" t="str">
        <f aca="false">IF($Q112="","",$Q112-$K112)</f>
        <v/>
      </c>
      <c r="S112" s="17" t="str">
        <f aca="false">IF($R112="","",IF($R112&gt;0,"VALORIZACION",IF($R112&lt;0,"DESVALORIZACION","SIN_CAMBIO")))</f>
        <v/>
      </c>
      <c r="T112" s="39"/>
      <c r="U112" s="33"/>
      <c r="V112" s="40"/>
      <c r="W112" s="33"/>
    </row>
    <row r="113" customFormat="false" ht="15" hidden="false" customHeight="false" outlineLevel="0" collapsed="false">
      <c r="A113" s="33"/>
      <c r="B113" s="33"/>
      <c r="C113" s="33"/>
      <c r="D113" s="33"/>
      <c r="E113" s="33"/>
      <c r="F113" s="33"/>
      <c r="G113" s="33"/>
      <c r="H113" s="33"/>
      <c r="I113" s="34"/>
      <c r="J113" s="35"/>
      <c r="K113" s="35"/>
      <c r="L113" s="33"/>
      <c r="M113" s="35"/>
      <c r="N113" s="36" t="str">
        <f aca="false">IF($H113="","",IF($H113="BUENO",1,IF($H113="REGULAR",0.75,IF($H113="MALO",0.4,0.05))))</f>
        <v/>
      </c>
      <c r="O113" s="37" t="str">
        <f aca="false">IF($I113="","",MAX(0,1-$I113))</f>
        <v/>
      </c>
      <c r="P113" s="38" t="str">
        <f aca="false">IF(OR($M113="",$N113="",$O113=""),"",$M113*$O113*$N113)</f>
        <v/>
      </c>
      <c r="Q113" s="35"/>
      <c r="R113" s="38" t="str">
        <f aca="false">IF($Q113="","",$Q113-$K113)</f>
        <v/>
      </c>
      <c r="S113" s="17" t="str">
        <f aca="false">IF($R113="","",IF($R113&gt;0,"VALORIZACION",IF($R113&lt;0,"DESVALORIZACION","SIN_CAMBIO")))</f>
        <v/>
      </c>
      <c r="T113" s="39"/>
      <c r="U113" s="33"/>
      <c r="V113" s="40"/>
      <c r="W113" s="33"/>
    </row>
    <row r="114" customFormat="false" ht="15" hidden="false" customHeight="false" outlineLevel="0" collapsed="false">
      <c r="A114" s="33"/>
      <c r="B114" s="33"/>
      <c r="C114" s="33"/>
      <c r="D114" s="33"/>
      <c r="E114" s="33"/>
      <c r="F114" s="33"/>
      <c r="G114" s="33"/>
      <c r="H114" s="33"/>
      <c r="I114" s="34"/>
      <c r="J114" s="35"/>
      <c r="K114" s="35"/>
      <c r="L114" s="33"/>
      <c r="M114" s="35"/>
      <c r="N114" s="36" t="str">
        <f aca="false">IF($H114="","",IF($H114="BUENO",1,IF($H114="REGULAR",0.75,IF($H114="MALO",0.4,0.05))))</f>
        <v/>
      </c>
      <c r="O114" s="37" t="str">
        <f aca="false">IF($I114="","",MAX(0,1-$I114))</f>
        <v/>
      </c>
      <c r="P114" s="38" t="str">
        <f aca="false">IF(OR($M114="",$N114="",$O114=""),"",$M114*$O114*$N114)</f>
        <v/>
      </c>
      <c r="Q114" s="35"/>
      <c r="R114" s="38" t="str">
        <f aca="false">IF($Q114="","",$Q114-$K114)</f>
        <v/>
      </c>
      <c r="S114" s="17" t="str">
        <f aca="false">IF($R114="","",IF($R114&gt;0,"VALORIZACION",IF($R114&lt;0,"DESVALORIZACION","SIN_CAMBIO")))</f>
        <v/>
      </c>
      <c r="T114" s="39"/>
      <c r="U114" s="33"/>
      <c r="V114" s="40"/>
      <c r="W114" s="33"/>
    </row>
    <row r="115" customFormat="false" ht="15" hidden="false" customHeight="false" outlineLevel="0" collapsed="false">
      <c r="A115" s="33"/>
      <c r="B115" s="33"/>
      <c r="C115" s="33"/>
      <c r="D115" s="33"/>
      <c r="E115" s="33"/>
      <c r="F115" s="33"/>
      <c r="G115" s="33"/>
      <c r="H115" s="33"/>
      <c r="I115" s="34"/>
      <c r="J115" s="35"/>
      <c r="K115" s="35"/>
      <c r="L115" s="33"/>
      <c r="M115" s="35"/>
      <c r="N115" s="36" t="str">
        <f aca="false">IF($H115="","",IF($H115="BUENO",1,IF($H115="REGULAR",0.75,IF($H115="MALO",0.4,0.05))))</f>
        <v/>
      </c>
      <c r="O115" s="37" t="str">
        <f aca="false">IF($I115="","",MAX(0,1-$I115))</f>
        <v/>
      </c>
      <c r="P115" s="38" t="str">
        <f aca="false">IF(OR($M115="",$N115="",$O115=""),"",$M115*$O115*$N115)</f>
        <v/>
      </c>
      <c r="Q115" s="35"/>
      <c r="R115" s="38" t="str">
        <f aca="false">IF($Q115="","",$Q115-$K115)</f>
        <v/>
      </c>
      <c r="S115" s="17" t="str">
        <f aca="false">IF($R115="","",IF($R115&gt;0,"VALORIZACION",IF($R115&lt;0,"DESVALORIZACION","SIN_CAMBIO")))</f>
        <v/>
      </c>
      <c r="T115" s="39"/>
      <c r="U115" s="33"/>
      <c r="V115" s="40"/>
      <c r="W115" s="33"/>
    </row>
    <row r="116" customFormat="false" ht="15" hidden="false" customHeight="false" outlineLevel="0" collapsed="false">
      <c r="A116" s="33"/>
      <c r="B116" s="33"/>
      <c r="C116" s="33"/>
      <c r="D116" s="33"/>
      <c r="E116" s="33"/>
      <c r="F116" s="33"/>
      <c r="G116" s="33"/>
      <c r="H116" s="33"/>
      <c r="I116" s="34"/>
      <c r="J116" s="35"/>
      <c r="K116" s="35"/>
      <c r="L116" s="33"/>
      <c r="M116" s="35"/>
      <c r="N116" s="36" t="str">
        <f aca="false">IF($H116="","",IF($H116="BUENO",1,IF($H116="REGULAR",0.75,IF($H116="MALO",0.4,0.05))))</f>
        <v/>
      </c>
      <c r="O116" s="37" t="str">
        <f aca="false">IF($I116="","",MAX(0,1-$I116))</f>
        <v/>
      </c>
      <c r="P116" s="38" t="str">
        <f aca="false">IF(OR($M116="",$N116="",$O116=""),"",$M116*$O116*$N116)</f>
        <v/>
      </c>
      <c r="Q116" s="35"/>
      <c r="R116" s="38" t="str">
        <f aca="false">IF($Q116="","",$Q116-$K116)</f>
        <v/>
      </c>
      <c r="S116" s="17" t="str">
        <f aca="false">IF($R116="","",IF($R116&gt;0,"VALORIZACION",IF($R116&lt;0,"DESVALORIZACION","SIN_CAMBIO")))</f>
        <v/>
      </c>
      <c r="T116" s="39"/>
      <c r="U116" s="33"/>
      <c r="V116" s="40"/>
      <c r="W116" s="33"/>
    </row>
    <row r="117" customFormat="false" ht="15" hidden="false" customHeight="false" outlineLevel="0" collapsed="false">
      <c r="A117" s="33"/>
      <c r="B117" s="33"/>
      <c r="C117" s="33"/>
      <c r="D117" s="33"/>
      <c r="E117" s="33"/>
      <c r="F117" s="33"/>
      <c r="G117" s="33"/>
      <c r="H117" s="33"/>
      <c r="I117" s="34"/>
      <c r="J117" s="35"/>
      <c r="K117" s="35"/>
      <c r="L117" s="33"/>
      <c r="M117" s="35"/>
      <c r="N117" s="36" t="str">
        <f aca="false">IF($H117="","",IF($H117="BUENO",1,IF($H117="REGULAR",0.75,IF($H117="MALO",0.4,0.05))))</f>
        <v/>
      </c>
      <c r="O117" s="37" t="str">
        <f aca="false">IF($I117="","",MAX(0,1-$I117))</f>
        <v/>
      </c>
      <c r="P117" s="38" t="str">
        <f aca="false">IF(OR($M117="",$N117="",$O117=""),"",$M117*$O117*$N117)</f>
        <v/>
      </c>
      <c r="Q117" s="35"/>
      <c r="R117" s="38" t="str">
        <f aca="false">IF($Q117="","",$Q117-$K117)</f>
        <v/>
      </c>
      <c r="S117" s="17" t="str">
        <f aca="false">IF($R117="","",IF($R117&gt;0,"VALORIZACION",IF($R117&lt;0,"DESVALORIZACION","SIN_CAMBIO")))</f>
        <v/>
      </c>
      <c r="T117" s="39"/>
      <c r="U117" s="33"/>
      <c r="V117" s="40"/>
      <c r="W117" s="33"/>
    </row>
    <row r="118" customFormat="false" ht="15" hidden="false" customHeight="false" outlineLevel="0" collapsed="false">
      <c r="A118" s="33"/>
      <c r="B118" s="33"/>
      <c r="C118" s="33"/>
      <c r="D118" s="33"/>
      <c r="E118" s="33"/>
      <c r="F118" s="33"/>
      <c r="G118" s="33"/>
      <c r="H118" s="33"/>
      <c r="I118" s="34"/>
      <c r="J118" s="35"/>
      <c r="K118" s="35"/>
      <c r="L118" s="33"/>
      <c r="M118" s="35"/>
      <c r="N118" s="36" t="str">
        <f aca="false">IF($H118="","",IF($H118="BUENO",1,IF($H118="REGULAR",0.75,IF($H118="MALO",0.4,0.05))))</f>
        <v/>
      </c>
      <c r="O118" s="37" t="str">
        <f aca="false">IF($I118="","",MAX(0,1-$I118))</f>
        <v/>
      </c>
      <c r="P118" s="38" t="str">
        <f aca="false">IF(OR($M118="",$N118="",$O118=""),"",$M118*$O118*$N118)</f>
        <v/>
      </c>
      <c r="Q118" s="35"/>
      <c r="R118" s="38" t="str">
        <f aca="false">IF($Q118="","",$Q118-$K118)</f>
        <v/>
      </c>
      <c r="S118" s="17" t="str">
        <f aca="false">IF($R118="","",IF($R118&gt;0,"VALORIZACION",IF($R118&lt;0,"DESVALORIZACION","SIN_CAMBIO")))</f>
        <v/>
      </c>
      <c r="T118" s="39"/>
      <c r="U118" s="33"/>
      <c r="V118" s="40"/>
      <c r="W118" s="33"/>
    </row>
    <row r="119" customFormat="false" ht="15" hidden="false" customHeight="false" outlineLevel="0" collapsed="false">
      <c r="A119" s="33"/>
      <c r="B119" s="33"/>
      <c r="C119" s="33"/>
      <c r="D119" s="33"/>
      <c r="E119" s="33"/>
      <c r="F119" s="33"/>
      <c r="G119" s="33"/>
      <c r="H119" s="33"/>
      <c r="I119" s="34"/>
      <c r="J119" s="35"/>
      <c r="K119" s="35"/>
      <c r="L119" s="33"/>
      <c r="M119" s="35"/>
      <c r="N119" s="36" t="str">
        <f aca="false">IF($H119="","",IF($H119="BUENO",1,IF($H119="REGULAR",0.75,IF($H119="MALO",0.4,0.05))))</f>
        <v/>
      </c>
      <c r="O119" s="37" t="str">
        <f aca="false">IF($I119="","",MAX(0,1-$I119))</f>
        <v/>
      </c>
      <c r="P119" s="38" t="str">
        <f aca="false">IF(OR($M119="",$N119="",$O119=""),"",$M119*$O119*$N119)</f>
        <v/>
      </c>
      <c r="Q119" s="35"/>
      <c r="R119" s="38" t="str">
        <f aca="false">IF($Q119="","",$Q119-$K119)</f>
        <v/>
      </c>
      <c r="S119" s="17" t="str">
        <f aca="false">IF($R119="","",IF($R119&gt;0,"VALORIZACION",IF($R119&lt;0,"DESVALORIZACION","SIN_CAMBIO")))</f>
        <v/>
      </c>
      <c r="T119" s="39"/>
      <c r="U119" s="33"/>
      <c r="V119" s="40"/>
      <c r="W119" s="33"/>
    </row>
    <row r="120" customFormat="false" ht="15" hidden="false" customHeight="false" outlineLevel="0" collapsed="false">
      <c r="A120" s="33"/>
      <c r="B120" s="33"/>
      <c r="C120" s="33"/>
      <c r="D120" s="33"/>
      <c r="E120" s="33"/>
      <c r="F120" s="33"/>
      <c r="G120" s="33"/>
      <c r="H120" s="33"/>
      <c r="I120" s="34"/>
      <c r="J120" s="35"/>
      <c r="K120" s="35"/>
      <c r="L120" s="33"/>
      <c r="M120" s="35"/>
      <c r="N120" s="36" t="str">
        <f aca="false">IF($H120="","",IF($H120="BUENO",1,IF($H120="REGULAR",0.75,IF($H120="MALO",0.4,0.05))))</f>
        <v/>
      </c>
      <c r="O120" s="37" t="str">
        <f aca="false">IF($I120="","",MAX(0,1-$I120))</f>
        <v/>
      </c>
      <c r="P120" s="38" t="str">
        <f aca="false">IF(OR($M120="",$N120="",$O120=""),"",$M120*$O120*$N120)</f>
        <v/>
      </c>
      <c r="Q120" s="35"/>
      <c r="R120" s="38" t="str">
        <f aca="false">IF($Q120="","",$Q120-$K120)</f>
        <v/>
      </c>
      <c r="S120" s="17" t="str">
        <f aca="false">IF($R120="","",IF($R120&gt;0,"VALORIZACION",IF($R120&lt;0,"DESVALORIZACION","SIN_CAMBIO")))</f>
        <v/>
      </c>
      <c r="T120" s="39"/>
      <c r="U120" s="33"/>
      <c r="V120" s="40"/>
      <c r="W120" s="33"/>
    </row>
    <row r="121" customFormat="false" ht="15" hidden="false" customHeight="false" outlineLevel="0" collapsed="false">
      <c r="A121" s="33"/>
      <c r="B121" s="33"/>
      <c r="C121" s="33"/>
      <c r="D121" s="33"/>
      <c r="E121" s="33"/>
      <c r="F121" s="33"/>
      <c r="G121" s="33"/>
      <c r="H121" s="33"/>
      <c r="I121" s="34"/>
      <c r="J121" s="35"/>
      <c r="K121" s="35"/>
      <c r="L121" s="33"/>
      <c r="M121" s="35"/>
      <c r="N121" s="36" t="str">
        <f aca="false">IF($H121="","",IF($H121="BUENO",1,IF($H121="REGULAR",0.75,IF($H121="MALO",0.4,0.05))))</f>
        <v/>
      </c>
      <c r="O121" s="37" t="str">
        <f aca="false">IF($I121="","",MAX(0,1-$I121))</f>
        <v/>
      </c>
      <c r="P121" s="38" t="str">
        <f aca="false">IF(OR($M121="",$N121="",$O121=""),"",$M121*$O121*$N121)</f>
        <v/>
      </c>
      <c r="Q121" s="35"/>
      <c r="R121" s="38" t="str">
        <f aca="false">IF($Q121="","",$Q121-$K121)</f>
        <v/>
      </c>
      <c r="S121" s="17" t="str">
        <f aca="false">IF($R121="","",IF($R121&gt;0,"VALORIZACION",IF($R121&lt;0,"DESVALORIZACION","SIN_CAMBIO")))</f>
        <v/>
      </c>
      <c r="T121" s="39"/>
      <c r="U121" s="33"/>
      <c r="V121" s="40"/>
      <c r="W121" s="33"/>
    </row>
    <row r="122" customFormat="false" ht="15" hidden="false" customHeight="false" outlineLevel="0" collapsed="false">
      <c r="A122" s="33"/>
      <c r="B122" s="33"/>
      <c r="C122" s="33"/>
      <c r="D122" s="33"/>
      <c r="E122" s="33"/>
      <c r="F122" s="33"/>
      <c r="G122" s="33"/>
      <c r="H122" s="33"/>
      <c r="I122" s="34"/>
      <c r="J122" s="35"/>
      <c r="K122" s="35"/>
      <c r="L122" s="33"/>
      <c r="M122" s="35"/>
      <c r="N122" s="36" t="str">
        <f aca="false">IF($H122="","",IF($H122="BUENO",1,IF($H122="REGULAR",0.75,IF($H122="MALO",0.4,0.05))))</f>
        <v/>
      </c>
      <c r="O122" s="37" t="str">
        <f aca="false">IF($I122="","",MAX(0,1-$I122))</f>
        <v/>
      </c>
      <c r="P122" s="38" t="str">
        <f aca="false">IF(OR($M122="",$N122="",$O122=""),"",$M122*$O122*$N122)</f>
        <v/>
      </c>
      <c r="Q122" s="35"/>
      <c r="R122" s="38" t="str">
        <f aca="false">IF($Q122="","",$Q122-$K122)</f>
        <v/>
      </c>
      <c r="S122" s="17" t="str">
        <f aca="false">IF($R122="","",IF($R122&gt;0,"VALORIZACION",IF($R122&lt;0,"DESVALORIZACION","SIN_CAMBIO")))</f>
        <v/>
      </c>
      <c r="T122" s="39"/>
      <c r="U122" s="33"/>
      <c r="V122" s="40"/>
      <c r="W122" s="33"/>
    </row>
    <row r="123" customFormat="false" ht="15" hidden="false" customHeight="false" outlineLevel="0" collapsed="false">
      <c r="A123" s="33"/>
      <c r="B123" s="33"/>
      <c r="C123" s="33"/>
      <c r="D123" s="33"/>
      <c r="E123" s="33"/>
      <c r="F123" s="33"/>
      <c r="G123" s="33"/>
      <c r="H123" s="33"/>
      <c r="I123" s="34"/>
      <c r="J123" s="35"/>
      <c r="K123" s="35"/>
      <c r="L123" s="33"/>
      <c r="M123" s="35"/>
      <c r="N123" s="36" t="str">
        <f aca="false">IF($H123="","",IF($H123="BUENO",1,IF($H123="REGULAR",0.75,IF($H123="MALO",0.4,0.05))))</f>
        <v/>
      </c>
      <c r="O123" s="37" t="str">
        <f aca="false">IF($I123="","",MAX(0,1-$I123))</f>
        <v/>
      </c>
      <c r="P123" s="38" t="str">
        <f aca="false">IF(OR($M123="",$N123="",$O123=""),"",$M123*$O123*$N123)</f>
        <v/>
      </c>
      <c r="Q123" s="35"/>
      <c r="R123" s="38" t="str">
        <f aca="false">IF($Q123="","",$Q123-$K123)</f>
        <v/>
      </c>
      <c r="S123" s="17" t="str">
        <f aca="false">IF($R123="","",IF($R123&gt;0,"VALORIZACION",IF($R123&lt;0,"DESVALORIZACION","SIN_CAMBIO")))</f>
        <v/>
      </c>
      <c r="T123" s="39"/>
      <c r="U123" s="33"/>
      <c r="V123" s="40"/>
      <c r="W123" s="33"/>
    </row>
    <row r="124" customFormat="false" ht="15" hidden="false" customHeight="false" outlineLevel="0" collapsed="false">
      <c r="A124" s="33"/>
      <c r="B124" s="33"/>
      <c r="C124" s="33"/>
      <c r="D124" s="33"/>
      <c r="E124" s="33"/>
      <c r="F124" s="33"/>
      <c r="G124" s="33"/>
      <c r="H124" s="33"/>
      <c r="I124" s="34"/>
      <c r="J124" s="35"/>
      <c r="K124" s="35"/>
      <c r="L124" s="33"/>
      <c r="M124" s="35"/>
      <c r="N124" s="36" t="str">
        <f aca="false">IF($H124="","",IF($H124="BUENO",1,IF($H124="REGULAR",0.75,IF($H124="MALO",0.4,0.05))))</f>
        <v/>
      </c>
      <c r="O124" s="37" t="str">
        <f aca="false">IF($I124="","",MAX(0,1-$I124))</f>
        <v/>
      </c>
      <c r="P124" s="38" t="str">
        <f aca="false">IF(OR($M124="",$N124="",$O124=""),"",$M124*$O124*$N124)</f>
        <v/>
      </c>
      <c r="Q124" s="35"/>
      <c r="R124" s="38" t="str">
        <f aca="false">IF($Q124="","",$Q124-$K124)</f>
        <v/>
      </c>
      <c r="S124" s="17" t="str">
        <f aca="false">IF($R124="","",IF($R124&gt;0,"VALORIZACION",IF($R124&lt;0,"DESVALORIZACION","SIN_CAMBIO")))</f>
        <v/>
      </c>
      <c r="T124" s="39"/>
      <c r="U124" s="33"/>
      <c r="V124" s="40"/>
      <c r="W124" s="33"/>
    </row>
    <row r="125" customFormat="false" ht="15" hidden="false" customHeight="false" outlineLevel="0" collapsed="false">
      <c r="A125" s="33"/>
      <c r="B125" s="33"/>
      <c r="C125" s="33"/>
      <c r="D125" s="33"/>
      <c r="E125" s="33"/>
      <c r="F125" s="33"/>
      <c r="G125" s="33"/>
      <c r="H125" s="33"/>
      <c r="I125" s="34"/>
      <c r="J125" s="35"/>
      <c r="K125" s="35"/>
      <c r="L125" s="33"/>
      <c r="M125" s="35"/>
      <c r="N125" s="36" t="str">
        <f aca="false">IF($H125="","",IF($H125="BUENO",1,IF($H125="REGULAR",0.75,IF($H125="MALO",0.4,0.05))))</f>
        <v/>
      </c>
      <c r="O125" s="37" t="str">
        <f aca="false">IF($I125="","",MAX(0,1-$I125))</f>
        <v/>
      </c>
      <c r="P125" s="38" t="str">
        <f aca="false">IF(OR($M125="",$N125="",$O125=""),"",$M125*$O125*$N125)</f>
        <v/>
      </c>
      <c r="Q125" s="35"/>
      <c r="R125" s="38" t="str">
        <f aca="false">IF($Q125="","",$Q125-$K125)</f>
        <v/>
      </c>
      <c r="S125" s="17" t="str">
        <f aca="false">IF($R125="","",IF($R125&gt;0,"VALORIZACION",IF($R125&lt;0,"DESVALORIZACION","SIN_CAMBIO")))</f>
        <v/>
      </c>
      <c r="T125" s="39"/>
      <c r="U125" s="33"/>
      <c r="V125" s="40"/>
      <c r="W125" s="33"/>
    </row>
    <row r="126" customFormat="false" ht="15" hidden="false" customHeight="false" outlineLevel="0" collapsed="false">
      <c r="A126" s="33"/>
      <c r="B126" s="33"/>
      <c r="C126" s="33"/>
      <c r="D126" s="33"/>
      <c r="E126" s="33"/>
      <c r="F126" s="33"/>
      <c r="G126" s="33"/>
      <c r="H126" s="33"/>
      <c r="I126" s="34"/>
      <c r="J126" s="35"/>
      <c r="K126" s="35"/>
      <c r="L126" s="33"/>
      <c r="M126" s="35"/>
      <c r="N126" s="36" t="str">
        <f aca="false">IF($H126="","",IF($H126="BUENO",1,IF($H126="REGULAR",0.75,IF($H126="MALO",0.4,0.05))))</f>
        <v/>
      </c>
      <c r="O126" s="37" t="str">
        <f aca="false">IF($I126="","",MAX(0,1-$I126))</f>
        <v/>
      </c>
      <c r="P126" s="38" t="str">
        <f aca="false">IF(OR($M126="",$N126="",$O126=""),"",$M126*$O126*$N126)</f>
        <v/>
      </c>
      <c r="Q126" s="35"/>
      <c r="R126" s="38" t="str">
        <f aca="false">IF($Q126="","",$Q126-$K126)</f>
        <v/>
      </c>
      <c r="S126" s="17" t="str">
        <f aca="false">IF($R126="","",IF($R126&gt;0,"VALORIZACION",IF($R126&lt;0,"DESVALORIZACION","SIN_CAMBIO")))</f>
        <v/>
      </c>
      <c r="T126" s="39"/>
      <c r="U126" s="33"/>
      <c r="V126" s="40"/>
      <c r="W126" s="33"/>
    </row>
    <row r="127" customFormat="false" ht="15" hidden="false" customHeight="false" outlineLevel="0" collapsed="false">
      <c r="A127" s="33"/>
      <c r="B127" s="33"/>
      <c r="C127" s="33"/>
      <c r="D127" s="33"/>
      <c r="E127" s="33"/>
      <c r="F127" s="33"/>
      <c r="G127" s="33"/>
      <c r="H127" s="33"/>
      <c r="I127" s="34"/>
      <c r="J127" s="35"/>
      <c r="K127" s="35"/>
      <c r="L127" s="33"/>
      <c r="M127" s="35"/>
      <c r="N127" s="36" t="str">
        <f aca="false">IF($H127="","",IF($H127="BUENO",1,IF($H127="REGULAR",0.75,IF($H127="MALO",0.4,0.05))))</f>
        <v/>
      </c>
      <c r="O127" s="37" t="str">
        <f aca="false">IF($I127="","",MAX(0,1-$I127))</f>
        <v/>
      </c>
      <c r="P127" s="38" t="str">
        <f aca="false">IF(OR($M127="",$N127="",$O127=""),"",$M127*$O127*$N127)</f>
        <v/>
      </c>
      <c r="Q127" s="35"/>
      <c r="R127" s="38" t="str">
        <f aca="false">IF($Q127="","",$Q127-$K127)</f>
        <v/>
      </c>
      <c r="S127" s="17" t="str">
        <f aca="false">IF($R127="","",IF($R127&gt;0,"VALORIZACION",IF($R127&lt;0,"DESVALORIZACION","SIN_CAMBIO")))</f>
        <v/>
      </c>
      <c r="T127" s="39"/>
      <c r="U127" s="33"/>
      <c r="V127" s="40"/>
      <c r="W127" s="33"/>
    </row>
    <row r="128" customFormat="false" ht="15" hidden="false" customHeight="false" outlineLevel="0" collapsed="false">
      <c r="A128" s="33"/>
      <c r="B128" s="33"/>
      <c r="C128" s="33"/>
      <c r="D128" s="33"/>
      <c r="E128" s="33"/>
      <c r="F128" s="33"/>
      <c r="G128" s="33"/>
      <c r="H128" s="33"/>
      <c r="I128" s="34"/>
      <c r="J128" s="35"/>
      <c r="K128" s="35"/>
      <c r="L128" s="33"/>
      <c r="M128" s="35"/>
      <c r="N128" s="36" t="str">
        <f aca="false">IF($H128="","",IF($H128="BUENO",1,IF($H128="REGULAR",0.75,IF($H128="MALO",0.4,0.05))))</f>
        <v/>
      </c>
      <c r="O128" s="37" t="str">
        <f aca="false">IF($I128="","",MAX(0,1-$I128))</f>
        <v/>
      </c>
      <c r="P128" s="38" t="str">
        <f aca="false">IF(OR($M128="",$N128="",$O128=""),"",$M128*$O128*$N128)</f>
        <v/>
      </c>
      <c r="Q128" s="35"/>
      <c r="R128" s="38" t="str">
        <f aca="false">IF($Q128="","",$Q128-$K128)</f>
        <v/>
      </c>
      <c r="S128" s="17" t="str">
        <f aca="false">IF($R128="","",IF($R128&gt;0,"VALORIZACION",IF($R128&lt;0,"DESVALORIZACION","SIN_CAMBIO")))</f>
        <v/>
      </c>
      <c r="T128" s="39"/>
      <c r="U128" s="33"/>
      <c r="V128" s="40"/>
      <c r="W128" s="33"/>
    </row>
    <row r="129" customFormat="false" ht="15" hidden="false" customHeight="false" outlineLevel="0" collapsed="false">
      <c r="A129" s="33"/>
      <c r="B129" s="33"/>
      <c r="C129" s="33"/>
      <c r="D129" s="33"/>
      <c r="E129" s="33"/>
      <c r="F129" s="33"/>
      <c r="G129" s="33"/>
      <c r="H129" s="33"/>
      <c r="I129" s="34"/>
      <c r="J129" s="35"/>
      <c r="K129" s="35"/>
      <c r="L129" s="33"/>
      <c r="M129" s="35"/>
      <c r="N129" s="36" t="str">
        <f aca="false">IF($H129="","",IF($H129="BUENO",1,IF($H129="REGULAR",0.75,IF($H129="MALO",0.4,0.05))))</f>
        <v/>
      </c>
      <c r="O129" s="37" t="str">
        <f aca="false">IF($I129="","",MAX(0,1-$I129))</f>
        <v/>
      </c>
      <c r="P129" s="38" t="str">
        <f aca="false">IF(OR($M129="",$N129="",$O129=""),"",$M129*$O129*$N129)</f>
        <v/>
      </c>
      <c r="Q129" s="35"/>
      <c r="R129" s="38" t="str">
        <f aca="false">IF($Q129="","",$Q129-$K129)</f>
        <v/>
      </c>
      <c r="S129" s="17" t="str">
        <f aca="false">IF($R129="","",IF($R129&gt;0,"VALORIZACION",IF($R129&lt;0,"DESVALORIZACION","SIN_CAMBIO")))</f>
        <v/>
      </c>
      <c r="T129" s="39"/>
      <c r="U129" s="33"/>
      <c r="V129" s="40"/>
      <c r="W129" s="33"/>
    </row>
    <row r="130" customFormat="false" ht="15" hidden="false" customHeight="false" outlineLevel="0" collapsed="false">
      <c r="A130" s="33"/>
      <c r="B130" s="33"/>
      <c r="C130" s="33"/>
      <c r="D130" s="33"/>
      <c r="E130" s="33"/>
      <c r="F130" s="33"/>
      <c r="G130" s="33"/>
      <c r="H130" s="33"/>
      <c r="I130" s="34"/>
      <c r="J130" s="35"/>
      <c r="K130" s="35"/>
      <c r="L130" s="33"/>
      <c r="M130" s="35"/>
      <c r="N130" s="36" t="str">
        <f aca="false">IF($H130="","",IF($H130="BUENO",1,IF($H130="REGULAR",0.75,IF($H130="MALO",0.4,0.05))))</f>
        <v/>
      </c>
      <c r="O130" s="37" t="str">
        <f aca="false">IF($I130="","",MAX(0,1-$I130))</f>
        <v/>
      </c>
      <c r="P130" s="38" t="str">
        <f aca="false">IF(OR($M130="",$N130="",$O130=""),"",$M130*$O130*$N130)</f>
        <v/>
      </c>
      <c r="Q130" s="35"/>
      <c r="R130" s="38" t="str">
        <f aca="false">IF($Q130="","",$Q130-$K130)</f>
        <v/>
      </c>
      <c r="S130" s="17" t="str">
        <f aca="false">IF($R130="","",IF($R130&gt;0,"VALORIZACION",IF($R130&lt;0,"DESVALORIZACION","SIN_CAMBIO")))</f>
        <v/>
      </c>
      <c r="T130" s="39"/>
      <c r="U130" s="33"/>
      <c r="V130" s="40"/>
      <c r="W130" s="33"/>
    </row>
    <row r="131" customFormat="false" ht="15" hidden="false" customHeight="false" outlineLevel="0" collapsed="false">
      <c r="A131" s="33"/>
      <c r="B131" s="33"/>
      <c r="C131" s="33"/>
      <c r="D131" s="33"/>
      <c r="E131" s="33"/>
      <c r="F131" s="33"/>
      <c r="G131" s="33"/>
      <c r="H131" s="33"/>
      <c r="I131" s="34"/>
      <c r="J131" s="35"/>
      <c r="K131" s="35"/>
      <c r="L131" s="33"/>
      <c r="M131" s="35"/>
      <c r="N131" s="36" t="str">
        <f aca="false">IF($H131="","",IF($H131="BUENO",1,IF($H131="REGULAR",0.75,IF($H131="MALO",0.4,0.05))))</f>
        <v/>
      </c>
      <c r="O131" s="37" t="str">
        <f aca="false">IF($I131="","",MAX(0,1-$I131))</f>
        <v/>
      </c>
      <c r="P131" s="38" t="str">
        <f aca="false">IF(OR($M131="",$N131="",$O131=""),"",$M131*$O131*$N131)</f>
        <v/>
      </c>
      <c r="Q131" s="35"/>
      <c r="R131" s="38" t="str">
        <f aca="false">IF($Q131="","",$Q131-$K131)</f>
        <v/>
      </c>
      <c r="S131" s="17" t="str">
        <f aca="false">IF($R131="","",IF($R131&gt;0,"VALORIZACION",IF($R131&lt;0,"DESVALORIZACION","SIN_CAMBIO")))</f>
        <v/>
      </c>
      <c r="T131" s="39"/>
      <c r="U131" s="33"/>
      <c r="V131" s="40"/>
      <c r="W131" s="33"/>
    </row>
    <row r="132" customFormat="false" ht="15" hidden="false" customHeight="false" outlineLevel="0" collapsed="false">
      <c r="A132" s="33"/>
      <c r="B132" s="33"/>
      <c r="C132" s="33"/>
      <c r="D132" s="33"/>
      <c r="E132" s="33"/>
      <c r="F132" s="33"/>
      <c r="G132" s="33"/>
      <c r="H132" s="33"/>
      <c r="I132" s="34"/>
      <c r="J132" s="35"/>
      <c r="K132" s="35"/>
      <c r="L132" s="33"/>
      <c r="M132" s="35"/>
      <c r="N132" s="36" t="str">
        <f aca="false">IF($H132="","",IF($H132="BUENO",1,IF($H132="REGULAR",0.75,IF($H132="MALO",0.4,0.05))))</f>
        <v/>
      </c>
      <c r="O132" s="37" t="str">
        <f aca="false">IF($I132="","",MAX(0,1-$I132))</f>
        <v/>
      </c>
      <c r="P132" s="38" t="str">
        <f aca="false">IF(OR($M132="",$N132="",$O132=""),"",$M132*$O132*$N132)</f>
        <v/>
      </c>
      <c r="Q132" s="35"/>
      <c r="R132" s="38" t="str">
        <f aca="false">IF($Q132="","",$Q132-$K132)</f>
        <v/>
      </c>
      <c r="S132" s="17" t="str">
        <f aca="false">IF($R132="","",IF($R132&gt;0,"VALORIZACION",IF($R132&lt;0,"DESVALORIZACION","SIN_CAMBIO")))</f>
        <v/>
      </c>
      <c r="T132" s="39"/>
      <c r="U132" s="33"/>
      <c r="V132" s="40"/>
      <c r="W132" s="33"/>
    </row>
    <row r="133" customFormat="false" ht="15" hidden="false" customHeight="false" outlineLevel="0" collapsed="false">
      <c r="A133" s="33"/>
      <c r="B133" s="33"/>
      <c r="C133" s="33"/>
      <c r="D133" s="33"/>
      <c r="E133" s="33"/>
      <c r="F133" s="33"/>
      <c r="G133" s="33"/>
      <c r="H133" s="33"/>
      <c r="I133" s="34"/>
      <c r="J133" s="35"/>
      <c r="K133" s="35"/>
      <c r="L133" s="33"/>
      <c r="M133" s="35"/>
      <c r="N133" s="36" t="str">
        <f aca="false">IF($H133="","",IF($H133="BUENO",1,IF($H133="REGULAR",0.75,IF($H133="MALO",0.4,0.05))))</f>
        <v/>
      </c>
      <c r="O133" s="37" t="str">
        <f aca="false">IF($I133="","",MAX(0,1-$I133))</f>
        <v/>
      </c>
      <c r="P133" s="38" t="str">
        <f aca="false">IF(OR($M133="",$N133="",$O133=""),"",$M133*$O133*$N133)</f>
        <v/>
      </c>
      <c r="Q133" s="35"/>
      <c r="R133" s="38" t="str">
        <f aca="false">IF($Q133="","",$Q133-$K133)</f>
        <v/>
      </c>
      <c r="S133" s="17" t="str">
        <f aca="false">IF($R133="","",IF($R133&gt;0,"VALORIZACION",IF($R133&lt;0,"DESVALORIZACION","SIN_CAMBIO")))</f>
        <v/>
      </c>
      <c r="T133" s="39"/>
      <c r="U133" s="33"/>
      <c r="V133" s="40"/>
      <c r="W133" s="33"/>
    </row>
    <row r="134" customFormat="false" ht="15" hidden="false" customHeight="false" outlineLevel="0" collapsed="false">
      <c r="A134" s="33"/>
      <c r="B134" s="33"/>
      <c r="C134" s="33"/>
      <c r="D134" s="33"/>
      <c r="E134" s="33"/>
      <c r="F134" s="33"/>
      <c r="G134" s="33"/>
      <c r="H134" s="33"/>
      <c r="I134" s="34"/>
      <c r="J134" s="35"/>
      <c r="K134" s="35"/>
      <c r="L134" s="33"/>
      <c r="M134" s="35"/>
      <c r="N134" s="36" t="str">
        <f aca="false">IF($H134="","",IF($H134="BUENO",1,IF($H134="REGULAR",0.75,IF($H134="MALO",0.4,0.05))))</f>
        <v/>
      </c>
      <c r="O134" s="37" t="str">
        <f aca="false">IF($I134="","",MAX(0,1-$I134))</f>
        <v/>
      </c>
      <c r="P134" s="38" t="str">
        <f aca="false">IF(OR($M134="",$N134="",$O134=""),"",$M134*$O134*$N134)</f>
        <v/>
      </c>
      <c r="Q134" s="35"/>
      <c r="R134" s="38" t="str">
        <f aca="false">IF($Q134="","",$Q134-$K134)</f>
        <v/>
      </c>
      <c r="S134" s="17" t="str">
        <f aca="false">IF($R134="","",IF($R134&gt;0,"VALORIZACION",IF($R134&lt;0,"DESVALORIZACION","SIN_CAMBIO")))</f>
        <v/>
      </c>
      <c r="T134" s="39"/>
      <c r="U134" s="33"/>
      <c r="V134" s="40"/>
      <c r="W134" s="33"/>
    </row>
    <row r="135" customFormat="false" ht="15" hidden="false" customHeight="false" outlineLevel="0" collapsed="false">
      <c r="A135" s="33"/>
      <c r="B135" s="33"/>
      <c r="C135" s="33"/>
      <c r="D135" s="33"/>
      <c r="E135" s="33"/>
      <c r="F135" s="33"/>
      <c r="G135" s="33"/>
      <c r="H135" s="33"/>
      <c r="I135" s="34"/>
      <c r="J135" s="35"/>
      <c r="K135" s="35"/>
      <c r="L135" s="33"/>
      <c r="M135" s="35"/>
      <c r="N135" s="36" t="str">
        <f aca="false">IF($H135="","",IF($H135="BUENO",1,IF($H135="REGULAR",0.75,IF($H135="MALO",0.4,0.05))))</f>
        <v/>
      </c>
      <c r="O135" s="37" t="str">
        <f aca="false">IF($I135="","",MAX(0,1-$I135))</f>
        <v/>
      </c>
      <c r="P135" s="38" t="str">
        <f aca="false">IF(OR($M135="",$N135="",$O135=""),"",$M135*$O135*$N135)</f>
        <v/>
      </c>
      <c r="Q135" s="35"/>
      <c r="R135" s="38" t="str">
        <f aca="false">IF($Q135="","",$Q135-$K135)</f>
        <v/>
      </c>
      <c r="S135" s="17" t="str">
        <f aca="false">IF($R135="","",IF($R135&gt;0,"VALORIZACION",IF($R135&lt;0,"DESVALORIZACION","SIN_CAMBIO")))</f>
        <v/>
      </c>
      <c r="T135" s="39"/>
      <c r="U135" s="33"/>
      <c r="V135" s="40"/>
      <c r="W135" s="33"/>
    </row>
    <row r="136" customFormat="false" ht="15" hidden="false" customHeight="false" outlineLevel="0" collapsed="false">
      <c r="A136" s="33"/>
      <c r="B136" s="33"/>
      <c r="C136" s="33"/>
      <c r="D136" s="33"/>
      <c r="E136" s="33"/>
      <c r="F136" s="33"/>
      <c r="G136" s="33"/>
      <c r="H136" s="33"/>
      <c r="I136" s="34"/>
      <c r="J136" s="35"/>
      <c r="K136" s="35"/>
      <c r="L136" s="33"/>
      <c r="M136" s="35"/>
      <c r="N136" s="36" t="str">
        <f aca="false">IF($H136="","",IF($H136="BUENO",1,IF($H136="REGULAR",0.75,IF($H136="MALO",0.4,0.05))))</f>
        <v/>
      </c>
      <c r="O136" s="37" t="str">
        <f aca="false">IF($I136="","",MAX(0,1-$I136))</f>
        <v/>
      </c>
      <c r="P136" s="38" t="str">
        <f aca="false">IF(OR($M136="",$N136="",$O136=""),"",$M136*$O136*$N136)</f>
        <v/>
      </c>
      <c r="Q136" s="35"/>
      <c r="R136" s="38" t="str">
        <f aca="false">IF($Q136="","",$Q136-$K136)</f>
        <v/>
      </c>
      <c r="S136" s="17" t="str">
        <f aca="false">IF($R136="","",IF($R136&gt;0,"VALORIZACION",IF($R136&lt;0,"DESVALORIZACION","SIN_CAMBIO")))</f>
        <v/>
      </c>
      <c r="T136" s="39"/>
      <c r="U136" s="33"/>
      <c r="V136" s="40"/>
      <c r="W136" s="33"/>
    </row>
    <row r="137" customFormat="false" ht="15" hidden="false" customHeight="false" outlineLevel="0" collapsed="false">
      <c r="A137" s="33"/>
      <c r="B137" s="33"/>
      <c r="C137" s="33"/>
      <c r="D137" s="33"/>
      <c r="E137" s="33"/>
      <c r="F137" s="33"/>
      <c r="G137" s="33"/>
      <c r="H137" s="33"/>
      <c r="I137" s="34"/>
      <c r="J137" s="35"/>
      <c r="K137" s="35"/>
      <c r="L137" s="33"/>
      <c r="M137" s="35"/>
      <c r="N137" s="36" t="str">
        <f aca="false">IF($H137="","",IF($H137="BUENO",1,IF($H137="REGULAR",0.75,IF($H137="MALO",0.4,0.05))))</f>
        <v/>
      </c>
      <c r="O137" s="37" t="str">
        <f aca="false">IF($I137="","",MAX(0,1-$I137))</f>
        <v/>
      </c>
      <c r="P137" s="38" t="str">
        <f aca="false">IF(OR($M137="",$N137="",$O137=""),"",$M137*$O137*$N137)</f>
        <v/>
      </c>
      <c r="Q137" s="35"/>
      <c r="R137" s="38" t="str">
        <f aca="false">IF($Q137="","",$Q137-$K137)</f>
        <v/>
      </c>
      <c r="S137" s="17" t="str">
        <f aca="false">IF($R137="","",IF($R137&gt;0,"VALORIZACION",IF($R137&lt;0,"DESVALORIZACION","SIN_CAMBIO")))</f>
        <v/>
      </c>
      <c r="T137" s="39"/>
      <c r="U137" s="33"/>
      <c r="V137" s="40"/>
      <c r="W137" s="33"/>
    </row>
    <row r="138" customFormat="false" ht="15" hidden="false" customHeight="false" outlineLevel="0" collapsed="false">
      <c r="A138" s="33"/>
      <c r="B138" s="33"/>
      <c r="C138" s="33"/>
      <c r="D138" s="33"/>
      <c r="E138" s="33"/>
      <c r="F138" s="33"/>
      <c r="G138" s="33"/>
      <c r="H138" s="33"/>
      <c r="I138" s="34"/>
      <c r="J138" s="35"/>
      <c r="K138" s="35"/>
      <c r="L138" s="33"/>
      <c r="M138" s="35"/>
      <c r="N138" s="36" t="str">
        <f aca="false">IF($H138="","",IF($H138="BUENO",1,IF($H138="REGULAR",0.75,IF($H138="MALO",0.4,0.05))))</f>
        <v/>
      </c>
      <c r="O138" s="37" t="str">
        <f aca="false">IF($I138="","",MAX(0,1-$I138))</f>
        <v/>
      </c>
      <c r="P138" s="38" t="str">
        <f aca="false">IF(OR($M138="",$N138="",$O138=""),"",$M138*$O138*$N138)</f>
        <v/>
      </c>
      <c r="Q138" s="35"/>
      <c r="R138" s="38" t="str">
        <f aca="false">IF($Q138="","",$Q138-$K138)</f>
        <v/>
      </c>
      <c r="S138" s="17" t="str">
        <f aca="false">IF($R138="","",IF($R138&gt;0,"VALORIZACION",IF($R138&lt;0,"DESVALORIZACION","SIN_CAMBIO")))</f>
        <v/>
      </c>
      <c r="T138" s="39"/>
      <c r="U138" s="33"/>
      <c r="V138" s="40"/>
      <c r="W138" s="33"/>
    </row>
    <row r="139" customFormat="false" ht="15" hidden="false" customHeight="false" outlineLevel="0" collapsed="false">
      <c r="A139" s="33"/>
      <c r="B139" s="33"/>
      <c r="C139" s="33"/>
      <c r="D139" s="33"/>
      <c r="E139" s="33"/>
      <c r="F139" s="33"/>
      <c r="G139" s="33"/>
      <c r="H139" s="33"/>
      <c r="I139" s="34"/>
      <c r="J139" s="35"/>
      <c r="K139" s="35"/>
      <c r="L139" s="33"/>
      <c r="M139" s="35"/>
      <c r="N139" s="36" t="str">
        <f aca="false">IF($H139="","",IF($H139="BUENO",1,IF($H139="REGULAR",0.75,IF($H139="MALO",0.4,0.05))))</f>
        <v/>
      </c>
      <c r="O139" s="37" t="str">
        <f aca="false">IF($I139="","",MAX(0,1-$I139))</f>
        <v/>
      </c>
      <c r="P139" s="38" t="str">
        <f aca="false">IF(OR($M139="",$N139="",$O139=""),"",$M139*$O139*$N139)</f>
        <v/>
      </c>
      <c r="Q139" s="35"/>
      <c r="R139" s="38" t="str">
        <f aca="false">IF($Q139="","",$Q139-$K139)</f>
        <v/>
      </c>
      <c r="S139" s="17" t="str">
        <f aca="false">IF($R139="","",IF($R139&gt;0,"VALORIZACION",IF($R139&lt;0,"DESVALORIZACION","SIN_CAMBIO")))</f>
        <v/>
      </c>
      <c r="T139" s="39"/>
      <c r="U139" s="33"/>
      <c r="V139" s="40"/>
      <c r="W139" s="33"/>
    </row>
    <row r="140" customFormat="false" ht="15" hidden="false" customHeight="false" outlineLevel="0" collapsed="false">
      <c r="A140" s="33"/>
      <c r="B140" s="33"/>
      <c r="C140" s="33"/>
      <c r="D140" s="33"/>
      <c r="E140" s="33"/>
      <c r="F140" s="33"/>
      <c r="G140" s="33"/>
      <c r="H140" s="33"/>
      <c r="I140" s="34"/>
      <c r="J140" s="35"/>
      <c r="K140" s="35"/>
      <c r="L140" s="33"/>
      <c r="M140" s="35"/>
      <c r="N140" s="36" t="str">
        <f aca="false">IF($H140="","",IF($H140="BUENO",1,IF($H140="REGULAR",0.75,IF($H140="MALO",0.4,0.05))))</f>
        <v/>
      </c>
      <c r="O140" s="37" t="str">
        <f aca="false">IF($I140="","",MAX(0,1-$I140))</f>
        <v/>
      </c>
      <c r="P140" s="38" t="str">
        <f aca="false">IF(OR($M140="",$N140="",$O140=""),"",$M140*$O140*$N140)</f>
        <v/>
      </c>
      <c r="Q140" s="35"/>
      <c r="R140" s="38" t="str">
        <f aca="false">IF($Q140="","",$Q140-$K140)</f>
        <v/>
      </c>
      <c r="S140" s="17" t="str">
        <f aca="false">IF($R140="","",IF($R140&gt;0,"VALORIZACION",IF($R140&lt;0,"DESVALORIZACION","SIN_CAMBIO")))</f>
        <v/>
      </c>
      <c r="T140" s="39"/>
      <c r="U140" s="33"/>
      <c r="V140" s="40"/>
      <c r="W140" s="33"/>
    </row>
    <row r="141" customFormat="false" ht="15" hidden="false" customHeight="false" outlineLevel="0" collapsed="false">
      <c r="A141" s="33"/>
      <c r="B141" s="33"/>
      <c r="C141" s="33"/>
      <c r="D141" s="33"/>
      <c r="E141" s="33"/>
      <c r="F141" s="33"/>
      <c r="G141" s="33"/>
      <c r="H141" s="33"/>
      <c r="I141" s="34"/>
      <c r="J141" s="35"/>
      <c r="K141" s="35"/>
      <c r="L141" s="33"/>
      <c r="M141" s="35"/>
      <c r="N141" s="36" t="str">
        <f aca="false">IF($H141="","",IF($H141="BUENO",1,IF($H141="REGULAR",0.75,IF($H141="MALO",0.4,0.05))))</f>
        <v/>
      </c>
      <c r="O141" s="37" t="str">
        <f aca="false">IF($I141="","",MAX(0,1-$I141))</f>
        <v/>
      </c>
      <c r="P141" s="38" t="str">
        <f aca="false">IF(OR($M141="",$N141="",$O141=""),"",$M141*$O141*$N141)</f>
        <v/>
      </c>
      <c r="Q141" s="35"/>
      <c r="R141" s="38" t="str">
        <f aca="false">IF($Q141="","",$Q141-$K141)</f>
        <v/>
      </c>
      <c r="S141" s="17" t="str">
        <f aca="false">IF($R141="","",IF($R141&gt;0,"VALORIZACION",IF($R141&lt;0,"DESVALORIZACION","SIN_CAMBIO")))</f>
        <v/>
      </c>
      <c r="T141" s="39"/>
      <c r="U141" s="33"/>
      <c r="V141" s="40"/>
      <c r="W141" s="33"/>
    </row>
    <row r="142" customFormat="false" ht="15" hidden="false" customHeight="false" outlineLevel="0" collapsed="false">
      <c r="A142" s="33"/>
      <c r="B142" s="33"/>
      <c r="C142" s="33"/>
      <c r="D142" s="33"/>
      <c r="E142" s="33"/>
      <c r="F142" s="33"/>
      <c r="G142" s="33"/>
      <c r="H142" s="33"/>
      <c r="I142" s="34"/>
      <c r="J142" s="35"/>
      <c r="K142" s="35"/>
      <c r="L142" s="33"/>
      <c r="M142" s="35"/>
      <c r="N142" s="36" t="str">
        <f aca="false">IF($H142="","",IF($H142="BUENO",1,IF($H142="REGULAR",0.75,IF($H142="MALO",0.4,0.05))))</f>
        <v/>
      </c>
      <c r="O142" s="37" t="str">
        <f aca="false">IF($I142="","",MAX(0,1-$I142))</f>
        <v/>
      </c>
      <c r="P142" s="38" t="str">
        <f aca="false">IF(OR($M142="",$N142="",$O142=""),"",$M142*$O142*$N142)</f>
        <v/>
      </c>
      <c r="Q142" s="35"/>
      <c r="R142" s="38" t="str">
        <f aca="false">IF($Q142="","",$Q142-$K142)</f>
        <v/>
      </c>
      <c r="S142" s="17" t="str">
        <f aca="false">IF($R142="","",IF($R142&gt;0,"VALORIZACION",IF($R142&lt;0,"DESVALORIZACION","SIN_CAMBIO")))</f>
        <v/>
      </c>
      <c r="T142" s="39"/>
      <c r="U142" s="33"/>
      <c r="V142" s="40"/>
      <c r="W142" s="33"/>
    </row>
    <row r="143" customFormat="false" ht="15" hidden="false" customHeight="false" outlineLevel="0" collapsed="false">
      <c r="A143" s="33"/>
      <c r="B143" s="33"/>
      <c r="C143" s="33"/>
      <c r="D143" s="33"/>
      <c r="E143" s="33"/>
      <c r="F143" s="33"/>
      <c r="G143" s="33"/>
      <c r="H143" s="33"/>
      <c r="I143" s="34"/>
      <c r="J143" s="35"/>
      <c r="K143" s="35"/>
      <c r="L143" s="33"/>
      <c r="M143" s="35"/>
      <c r="N143" s="36" t="str">
        <f aca="false">IF($H143="","",IF($H143="BUENO",1,IF($H143="REGULAR",0.75,IF($H143="MALO",0.4,0.05))))</f>
        <v/>
      </c>
      <c r="O143" s="37" t="str">
        <f aca="false">IF($I143="","",MAX(0,1-$I143))</f>
        <v/>
      </c>
      <c r="P143" s="38" t="str">
        <f aca="false">IF(OR($M143="",$N143="",$O143=""),"",$M143*$O143*$N143)</f>
        <v/>
      </c>
      <c r="Q143" s="35"/>
      <c r="R143" s="38" t="str">
        <f aca="false">IF($Q143="","",$Q143-$K143)</f>
        <v/>
      </c>
      <c r="S143" s="17" t="str">
        <f aca="false">IF($R143="","",IF($R143&gt;0,"VALORIZACION",IF($R143&lt;0,"DESVALORIZACION","SIN_CAMBIO")))</f>
        <v/>
      </c>
      <c r="T143" s="39"/>
      <c r="U143" s="33"/>
      <c r="V143" s="40"/>
      <c r="W143" s="33"/>
    </row>
    <row r="144" customFormat="false" ht="15" hidden="false" customHeight="false" outlineLevel="0" collapsed="false">
      <c r="A144" s="33"/>
      <c r="B144" s="33"/>
      <c r="C144" s="33"/>
      <c r="D144" s="33"/>
      <c r="E144" s="33"/>
      <c r="F144" s="33"/>
      <c r="G144" s="33"/>
      <c r="H144" s="33"/>
      <c r="I144" s="34"/>
      <c r="J144" s="35"/>
      <c r="K144" s="35"/>
      <c r="L144" s="33"/>
      <c r="M144" s="35"/>
      <c r="N144" s="36" t="str">
        <f aca="false">IF($H144="","",IF($H144="BUENO",1,IF($H144="REGULAR",0.75,IF($H144="MALO",0.4,0.05))))</f>
        <v/>
      </c>
      <c r="O144" s="37" t="str">
        <f aca="false">IF($I144="","",MAX(0,1-$I144))</f>
        <v/>
      </c>
      <c r="P144" s="38" t="str">
        <f aca="false">IF(OR($M144="",$N144="",$O144=""),"",$M144*$O144*$N144)</f>
        <v/>
      </c>
      <c r="Q144" s="35"/>
      <c r="R144" s="38" t="str">
        <f aca="false">IF($Q144="","",$Q144-$K144)</f>
        <v/>
      </c>
      <c r="S144" s="17" t="str">
        <f aca="false">IF($R144="","",IF($R144&gt;0,"VALORIZACION",IF($R144&lt;0,"DESVALORIZACION","SIN_CAMBIO")))</f>
        <v/>
      </c>
      <c r="T144" s="39"/>
      <c r="U144" s="33"/>
      <c r="V144" s="40"/>
      <c r="W144" s="33"/>
    </row>
    <row r="145" customFormat="false" ht="15" hidden="false" customHeight="false" outlineLevel="0" collapsed="false">
      <c r="A145" s="33"/>
      <c r="B145" s="33"/>
      <c r="C145" s="33"/>
      <c r="D145" s="33"/>
      <c r="E145" s="33"/>
      <c r="F145" s="33"/>
      <c r="G145" s="33"/>
      <c r="H145" s="33"/>
      <c r="I145" s="34"/>
      <c r="J145" s="35"/>
      <c r="K145" s="35"/>
      <c r="L145" s="33"/>
      <c r="M145" s="35"/>
      <c r="N145" s="36" t="str">
        <f aca="false">IF($H145="","",IF($H145="BUENO",1,IF($H145="REGULAR",0.75,IF($H145="MALO",0.4,0.05))))</f>
        <v/>
      </c>
      <c r="O145" s="37" t="str">
        <f aca="false">IF($I145="","",MAX(0,1-$I145))</f>
        <v/>
      </c>
      <c r="P145" s="38" t="str">
        <f aca="false">IF(OR($M145="",$N145="",$O145=""),"",$M145*$O145*$N145)</f>
        <v/>
      </c>
      <c r="Q145" s="35"/>
      <c r="R145" s="38" t="str">
        <f aca="false">IF($Q145="","",$Q145-$K145)</f>
        <v/>
      </c>
      <c r="S145" s="17" t="str">
        <f aca="false">IF($R145="","",IF($R145&gt;0,"VALORIZACION",IF($R145&lt;0,"DESVALORIZACION","SIN_CAMBIO")))</f>
        <v/>
      </c>
      <c r="T145" s="39"/>
      <c r="U145" s="33"/>
      <c r="V145" s="40"/>
      <c r="W145" s="33"/>
    </row>
    <row r="146" customFormat="false" ht="15" hidden="false" customHeight="false" outlineLevel="0" collapsed="false">
      <c r="A146" s="33"/>
      <c r="B146" s="33"/>
      <c r="C146" s="33"/>
      <c r="D146" s="33"/>
      <c r="E146" s="33"/>
      <c r="F146" s="33"/>
      <c r="G146" s="33"/>
      <c r="H146" s="33"/>
      <c r="I146" s="34"/>
      <c r="J146" s="35"/>
      <c r="K146" s="35"/>
      <c r="L146" s="33"/>
      <c r="M146" s="35"/>
      <c r="N146" s="36" t="str">
        <f aca="false">IF($H146="","",IF($H146="BUENO",1,IF($H146="REGULAR",0.75,IF($H146="MALO",0.4,0.05))))</f>
        <v/>
      </c>
      <c r="O146" s="37" t="str">
        <f aca="false">IF($I146="","",MAX(0,1-$I146))</f>
        <v/>
      </c>
      <c r="P146" s="38" t="str">
        <f aca="false">IF(OR($M146="",$N146="",$O146=""),"",$M146*$O146*$N146)</f>
        <v/>
      </c>
      <c r="Q146" s="35"/>
      <c r="R146" s="38" t="str">
        <f aca="false">IF($Q146="","",$Q146-$K146)</f>
        <v/>
      </c>
      <c r="S146" s="17" t="str">
        <f aca="false">IF($R146="","",IF($R146&gt;0,"VALORIZACION",IF($R146&lt;0,"DESVALORIZACION","SIN_CAMBIO")))</f>
        <v/>
      </c>
      <c r="T146" s="39"/>
      <c r="U146" s="33"/>
      <c r="V146" s="40"/>
      <c r="W146" s="33"/>
    </row>
    <row r="147" customFormat="false" ht="15" hidden="false" customHeight="false" outlineLevel="0" collapsed="false">
      <c r="A147" s="33"/>
      <c r="B147" s="33"/>
      <c r="C147" s="33"/>
      <c r="D147" s="33"/>
      <c r="E147" s="33"/>
      <c r="F147" s="33"/>
      <c r="G147" s="33"/>
      <c r="H147" s="33"/>
      <c r="I147" s="34"/>
      <c r="J147" s="35"/>
      <c r="K147" s="35"/>
      <c r="L147" s="33"/>
      <c r="M147" s="35"/>
      <c r="N147" s="36" t="str">
        <f aca="false">IF($H147="","",IF($H147="BUENO",1,IF($H147="REGULAR",0.75,IF($H147="MALO",0.4,0.05))))</f>
        <v/>
      </c>
      <c r="O147" s="37" t="str">
        <f aca="false">IF($I147="","",MAX(0,1-$I147))</f>
        <v/>
      </c>
      <c r="P147" s="38" t="str">
        <f aca="false">IF(OR($M147="",$N147="",$O147=""),"",$M147*$O147*$N147)</f>
        <v/>
      </c>
      <c r="Q147" s="35"/>
      <c r="R147" s="38" t="str">
        <f aca="false">IF($Q147="","",$Q147-$K147)</f>
        <v/>
      </c>
      <c r="S147" s="17" t="str">
        <f aca="false">IF($R147="","",IF($R147&gt;0,"VALORIZACION",IF($R147&lt;0,"DESVALORIZACION","SIN_CAMBIO")))</f>
        <v/>
      </c>
      <c r="T147" s="39"/>
      <c r="U147" s="33"/>
      <c r="V147" s="40"/>
      <c r="W147" s="33"/>
    </row>
    <row r="148" customFormat="false" ht="15" hidden="false" customHeight="false" outlineLevel="0" collapsed="false">
      <c r="A148" s="33"/>
      <c r="B148" s="33"/>
      <c r="C148" s="33"/>
      <c r="D148" s="33"/>
      <c r="E148" s="33"/>
      <c r="F148" s="33"/>
      <c r="G148" s="33"/>
      <c r="H148" s="33"/>
      <c r="I148" s="34"/>
      <c r="J148" s="35"/>
      <c r="K148" s="35"/>
      <c r="L148" s="33"/>
      <c r="M148" s="35"/>
      <c r="N148" s="36" t="str">
        <f aca="false">IF($H148="","",IF($H148="BUENO",1,IF($H148="REGULAR",0.75,IF($H148="MALO",0.4,0.05))))</f>
        <v/>
      </c>
      <c r="O148" s="37" t="str">
        <f aca="false">IF($I148="","",MAX(0,1-$I148))</f>
        <v/>
      </c>
      <c r="P148" s="38" t="str">
        <f aca="false">IF(OR($M148="",$N148="",$O148=""),"",$M148*$O148*$N148)</f>
        <v/>
      </c>
      <c r="Q148" s="35"/>
      <c r="R148" s="38" t="str">
        <f aca="false">IF($Q148="","",$Q148-$K148)</f>
        <v/>
      </c>
      <c r="S148" s="17" t="str">
        <f aca="false">IF($R148="","",IF($R148&gt;0,"VALORIZACION",IF($R148&lt;0,"DESVALORIZACION","SIN_CAMBIO")))</f>
        <v/>
      </c>
      <c r="T148" s="39"/>
      <c r="U148" s="33"/>
      <c r="V148" s="40"/>
      <c r="W148" s="33"/>
    </row>
    <row r="149" customFormat="false" ht="15" hidden="false" customHeight="false" outlineLevel="0" collapsed="false">
      <c r="A149" s="33"/>
      <c r="B149" s="33"/>
      <c r="C149" s="33"/>
      <c r="D149" s="33"/>
      <c r="E149" s="33"/>
      <c r="F149" s="33"/>
      <c r="G149" s="33"/>
      <c r="H149" s="33"/>
      <c r="I149" s="34"/>
      <c r="J149" s="35"/>
      <c r="K149" s="35"/>
      <c r="L149" s="33"/>
      <c r="M149" s="35"/>
      <c r="N149" s="36" t="str">
        <f aca="false">IF($H149="","",IF($H149="BUENO",1,IF($H149="REGULAR",0.75,IF($H149="MALO",0.4,0.05))))</f>
        <v/>
      </c>
      <c r="O149" s="37" t="str">
        <f aca="false">IF($I149="","",MAX(0,1-$I149))</f>
        <v/>
      </c>
      <c r="P149" s="38" t="str">
        <f aca="false">IF(OR($M149="",$N149="",$O149=""),"",$M149*$O149*$N149)</f>
        <v/>
      </c>
      <c r="Q149" s="35"/>
      <c r="R149" s="38" t="str">
        <f aca="false">IF($Q149="","",$Q149-$K149)</f>
        <v/>
      </c>
      <c r="S149" s="17" t="str">
        <f aca="false">IF($R149="","",IF($R149&gt;0,"VALORIZACION",IF($R149&lt;0,"DESVALORIZACION","SIN_CAMBIO")))</f>
        <v/>
      </c>
      <c r="T149" s="39"/>
      <c r="U149" s="33"/>
      <c r="V149" s="40"/>
      <c r="W149" s="33"/>
    </row>
    <row r="150" customFormat="false" ht="15" hidden="false" customHeight="false" outlineLevel="0" collapsed="false">
      <c r="A150" s="33"/>
      <c r="B150" s="33"/>
      <c r="C150" s="33"/>
      <c r="D150" s="33"/>
      <c r="E150" s="33"/>
      <c r="F150" s="33"/>
      <c r="G150" s="33"/>
      <c r="H150" s="33"/>
      <c r="I150" s="34"/>
      <c r="J150" s="35"/>
      <c r="K150" s="35"/>
      <c r="L150" s="33"/>
      <c r="M150" s="35"/>
      <c r="N150" s="36" t="str">
        <f aca="false">IF($H150="","",IF($H150="BUENO",1,IF($H150="REGULAR",0.75,IF($H150="MALO",0.4,0.05))))</f>
        <v/>
      </c>
      <c r="O150" s="37" t="str">
        <f aca="false">IF($I150="","",MAX(0,1-$I150))</f>
        <v/>
      </c>
      <c r="P150" s="38" t="str">
        <f aca="false">IF(OR($M150="",$N150="",$O150=""),"",$M150*$O150*$N150)</f>
        <v/>
      </c>
      <c r="Q150" s="35"/>
      <c r="R150" s="38" t="str">
        <f aca="false">IF($Q150="","",$Q150-$K150)</f>
        <v/>
      </c>
      <c r="S150" s="17" t="str">
        <f aca="false">IF($R150="","",IF($R150&gt;0,"VALORIZACION",IF($R150&lt;0,"DESVALORIZACION","SIN_CAMBIO")))</f>
        <v/>
      </c>
      <c r="T150" s="39"/>
      <c r="U150" s="33"/>
      <c r="V150" s="40"/>
      <c r="W150" s="33"/>
    </row>
    <row r="151" customFormat="false" ht="15" hidden="false" customHeight="false" outlineLevel="0" collapsed="false">
      <c r="A151" s="33"/>
      <c r="B151" s="33"/>
      <c r="C151" s="33"/>
      <c r="D151" s="33"/>
      <c r="E151" s="33"/>
      <c r="F151" s="33"/>
      <c r="G151" s="33"/>
      <c r="H151" s="33"/>
      <c r="I151" s="34"/>
      <c r="J151" s="35"/>
      <c r="K151" s="35"/>
      <c r="L151" s="33"/>
      <c r="M151" s="35"/>
      <c r="N151" s="36" t="str">
        <f aca="false">IF($H151="","",IF($H151="BUENO",1,IF($H151="REGULAR",0.75,IF($H151="MALO",0.4,0.05))))</f>
        <v/>
      </c>
      <c r="O151" s="37" t="str">
        <f aca="false">IF($I151="","",MAX(0,1-$I151))</f>
        <v/>
      </c>
      <c r="P151" s="38" t="str">
        <f aca="false">IF(OR($M151="",$N151="",$O151=""),"",$M151*$O151*$N151)</f>
        <v/>
      </c>
      <c r="Q151" s="35"/>
      <c r="R151" s="38" t="str">
        <f aca="false">IF($Q151="","",$Q151-$K151)</f>
        <v/>
      </c>
      <c r="S151" s="17" t="str">
        <f aca="false">IF($R151="","",IF($R151&gt;0,"VALORIZACION",IF($R151&lt;0,"DESVALORIZACION","SIN_CAMBIO")))</f>
        <v/>
      </c>
      <c r="T151" s="39"/>
      <c r="U151" s="33"/>
      <c r="V151" s="40"/>
      <c r="W151" s="33"/>
    </row>
    <row r="152" customFormat="false" ht="15" hidden="false" customHeight="false" outlineLevel="0" collapsed="false">
      <c r="A152" s="33"/>
      <c r="B152" s="33"/>
      <c r="C152" s="33"/>
      <c r="D152" s="33"/>
      <c r="E152" s="33"/>
      <c r="F152" s="33"/>
      <c r="G152" s="33"/>
      <c r="H152" s="33"/>
      <c r="I152" s="34"/>
      <c r="J152" s="35"/>
      <c r="K152" s="35"/>
      <c r="L152" s="33"/>
      <c r="M152" s="35"/>
      <c r="N152" s="36" t="str">
        <f aca="false">IF($H152="","",IF($H152="BUENO",1,IF($H152="REGULAR",0.75,IF($H152="MALO",0.4,0.05))))</f>
        <v/>
      </c>
      <c r="O152" s="37" t="str">
        <f aca="false">IF($I152="","",MAX(0,1-$I152))</f>
        <v/>
      </c>
      <c r="P152" s="38" t="str">
        <f aca="false">IF(OR($M152="",$N152="",$O152=""),"",$M152*$O152*$N152)</f>
        <v/>
      </c>
      <c r="Q152" s="35"/>
      <c r="R152" s="38" t="str">
        <f aca="false">IF($Q152="","",$Q152-$K152)</f>
        <v/>
      </c>
      <c r="S152" s="17" t="str">
        <f aca="false">IF($R152="","",IF($R152&gt;0,"VALORIZACION",IF($R152&lt;0,"DESVALORIZACION","SIN_CAMBIO")))</f>
        <v/>
      </c>
      <c r="T152" s="39"/>
      <c r="U152" s="33"/>
      <c r="V152" s="40"/>
      <c r="W152" s="33"/>
    </row>
    <row r="153" customFormat="false" ht="15" hidden="false" customHeight="false" outlineLevel="0" collapsed="false">
      <c r="A153" s="33"/>
      <c r="B153" s="33"/>
      <c r="C153" s="33"/>
      <c r="D153" s="33"/>
      <c r="E153" s="33"/>
      <c r="F153" s="33"/>
      <c r="G153" s="33"/>
      <c r="H153" s="33"/>
      <c r="I153" s="34"/>
      <c r="J153" s="35"/>
      <c r="K153" s="35"/>
      <c r="L153" s="33"/>
      <c r="M153" s="35"/>
      <c r="N153" s="36" t="str">
        <f aca="false">IF($H153="","",IF($H153="BUENO",1,IF($H153="REGULAR",0.75,IF($H153="MALO",0.4,0.05))))</f>
        <v/>
      </c>
      <c r="O153" s="37" t="str">
        <f aca="false">IF($I153="","",MAX(0,1-$I153))</f>
        <v/>
      </c>
      <c r="P153" s="38" t="str">
        <f aca="false">IF(OR($M153="",$N153="",$O153=""),"",$M153*$O153*$N153)</f>
        <v/>
      </c>
      <c r="Q153" s="35"/>
      <c r="R153" s="38" t="str">
        <f aca="false">IF($Q153="","",$Q153-$K153)</f>
        <v/>
      </c>
      <c r="S153" s="17" t="str">
        <f aca="false">IF($R153="","",IF($R153&gt;0,"VALORIZACION",IF($R153&lt;0,"DESVALORIZACION","SIN_CAMBIO")))</f>
        <v/>
      </c>
      <c r="T153" s="39"/>
      <c r="U153" s="33"/>
      <c r="V153" s="40"/>
      <c r="W153" s="33"/>
    </row>
    <row r="154" customFormat="false" ht="15" hidden="false" customHeight="false" outlineLevel="0" collapsed="false">
      <c r="A154" s="33"/>
      <c r="B154" s="33"/>
      <c r="C154" s="33"/>
      <c r="D154" s="33"/>
      <c r="E154" s="33"/>
      <c r="F154" s="33"/>
      <c r="G154" s="33"/>
      <c r="H154" s="33"/>
      <c r="I154" s="34"/>
      <c r="J154" s="35"/>
      <c r="K154" s="35"/>
      <c r="L154" s="33"/>
      <c r="M154" s="35"/>
      <c r="N154" s="36" t="str">
        <f aca="false">IF($H154="","",IF($H154="BUENO",1,IF($H154="REGULAR",0.75,IF($H154="MALO",0.4,0.05))))</f>
        <v/>
      </c>
      <c r="O154" s="37" t="str">
        <f aca="false">IF($I154="","",MAX(0,1-$I154))</f>
        <v/>
      </c>
      <c r="P154" s="38" t="str">
        <f aca="false">IF(OR($M154="",$N154="",$O154=""),"",$M154*$O154*$N154)</f>
        <v/>
      </c>
      <c r="Q154" s="35"/>
      <c r="R154" s="38" t="str">
        <f aca="false">IF($Q154="","",$Q154-$K154)</f>
        <v/>
      </c>
      <c r="S154" s="17" t="str">
        <f aca="false">IF($R154="","",IF($R154&gt;0,"VALORIZACION",IF($R154&lt;0,"DESVALORIZACION","SIN_CAMBIO")))</f>
        <v/>
      </c>
      <c r="T154" s="39"/>
      <c r="U154" s="33"/>
      <c r="V154" s="40"/>
      <c r="W154" s="33"/>
    </row>
    <row r="155" customFormat="false" ht="15" hidden="false" customHeight="false" outlineLevel="0" collapsed="false">
      <c r="A155" s="33"/>
      <c r="B155" s="33"/>
      <c r="C155" s="33"/>
      <c r="D155" s="33"/>
      <c r="E155" s="33"/>
      <c r="F155" s="33"/>
      <c r="G155" s="33"/>
      <c r="H155" s="33"/>
      <c r="I155" s="34"/>
      <c r="J155" s="35"/>
      <c r="K155" s="35"/>
      <c r="L155" s="33"/>
      <c r="M155" s="35"/>
      <c r="N155" s="36" t="str">
        <f aca="false">IF($H155="","",IF($H155="BUENO",1,IF($H155="REGULAR",0.75,IF($H155="MALO",0.4,0.05))))</f>
        <v/>
      </c>
      <c r="O155" s="37" t="str">
        <f aca="false">IF($I155="","",MAX(0,1-$I155))</f>
        <v/>
      </c>
      <c r="P155" s="38" t="str">
        <f aca="false">IF(OR($M155="",$N155="",$O155=""),"",$M155*$O155*$N155)</f>
        <v/>
      </c>
      <c r="Q155" s="35"/>
      <c r="R155" s="38" t="str">
        <f aca="false">IF($Q155="","",$Q155-$K155)</f>
        <v/>
      </c>
      <c r="S155" s="17" t="str">
        <f aca="false">IF($R155="","",IF($R155&gt;0,"VALORIZACION",IF($R155&lt;0,"DESVALORIZACION","SIN_CAMBIO")))</f>
        <v/>
      </c>
      <c r="T155" s="39"/>
      <c r="U155" s="33"/>
      <c r="V155" s="40"/>
      <c r="W155" s="33"/>
    </row>
    <row r="156" customFormat="false" ht="15" hidden="false" customHeight="false" outlineLevel="0" collapsed="false">
      <c r="A156" s="33"/>
      <c r="B156" s="33"/>
      <c r="C156" s="33"/>
      <c r="D156" s="33"/>
      <c r="E156" s="33"/>
      <c r="F156" s="33"/>
      <c r="G156" s="33"/>
      <c r="H156" s="33"/>
      <c r="I156" s="34"/>
      <c r="J156" s="35"/>
      <c r="K156" s="35"/>
      <c r="L156" s="33"/>
      <c r="M156" s="35"/>
      <c r="N156" s="36" t="str">
        <f aca="false">IF($H156="","",IF($H156="BUENO",1,IF($H156="REGULAR",0.75,IF($H156="MALO",0.4,0.05))))</f>
        <v/>
      </c>
      <c r="O156" s="37" t="str">
        <f aca="false">IF($I156="","",MAX(0,1-$I156))</f>
        <v/>
      </c>
      <c r="P156" s="38" t="str">
        <f aca="false">IF(OR($M156="",$N156="",$O156=""),"",$M156*$O156*$N156)</f>
        <v/>
      </c>
      <c r="Q156" s="35"/>
      <c r="R156" s="38" t="str">
        <f aca="false">IF($Q156="","",$Q156-$K156)</f>
        <v/>
      </c>
      <c r="S156" s="17" t="str">
        <f aca="false">IF($R156="","",IF($R156&gt;0,"VALORIZACION",IF($R156&lt;0,"DESVALORIZACION","SIN_CAMBIO")))</f>
        <v/>
      </c>
      <c r="T156" s="39"/>
      <c r="U156" s="33"/>
      <c r="V156" s="40"/>
      <c r="W156" s="33"/>
    </row>
    <row r="157" customFormat="false" ht="15" hidden="false" customHeight="false" outlineLevel="0" collapsed="false">
      <c r="A157" s="33"/>
      <c r="B157" s="33"/>
      <c r="C157" s="33"/>
      <c r="D157" s="33"/>
      <c r="E157" s="33"/>
      <c r="F157" s="33"/>
      <c r="G157" s="33"/>
      <c r="H157" s="33"/>
      <c r="I157" s="34"/>
      <c r="J157" s="35"/>
      <c r="K157" s="35"/>
      <c r="L157" s="33"/>
      <c r="M157" s="35"/>
      <c r="N157" s="36" t="str">
        <f aca="false">IF($H157="","",IF($H157="BUENO",1,IF($H157="REGULAR",0.75,IF($H157="MALO",0.4,0.05))))</f>
        <v/>
      </c>
      <c r="O157" s="37" t="str">
        <f aca="false">IF($I157="","",MAX(0,1-$I157))</f>
        <v/>
      </c>
      <c r="P157" s="38" t="str">
        <f aca="false">IF(OR($M157="",$N157="",$O157=""),"",$M157*$O157*$N157)</f>
        <v/>
      </c>
      <c r="Q157" s="35"/>
      <c r="R157" s="38" t="str">
        <f aca="false">IF($Q157="","",$Q157-$K157)</f>
        <v/>
      </c>
      <c r="S157" s="17" t="str">
        <f aca="false">IF($R157="","",IF($R157&gt;0,"VALORIZACION",IF($R157&lt;0,"DESVALORIZACION","SIN_CAMBIO")))</f>
        <v/>
      </c>
      <c r="T157" s="39"/>
      <c r="U157" s="33"/>
      <c r="V157" s="40"/>
      <c r="W157" s="33"/>
    </row>
  </sheetData>
  <mergeCells count="2">
    <mergeCell ref="A1:W1"/>
    <mergeCell ref="A2:W2"/>
  </mergeCells>
  <dataValidations count="2">
    <dataValidation allowBlank="true" error="Seleccione un valor de la lista desplegable." errorStyle="stop" errorTitle="Valor no permitido" operator="between" showDropDown="false" showErrorMessage="true" showInputMessage="false" sqref="H7:H157" type="list">
      <formula1>"BUENO,REGULAR,MALO,INSERVIBLE"</formula1>
      <formula2>0</formula2>
    </dataValidation>
    <dataValidation allowBlank="true" error="Seleccione un valor de la lista desplegable." errorStyle="stop" errorTitle="Valor no permitido" operator="between" showDropDown="false" showErrorMessage="true" showInputMessage="false" sqref="L7:L157" type="list">
      <formula1>"COSTO_REPOSICION_DEPRECIADO,COMPARACION_MERCADO,VALOR_EN_LIBROS,VALOR_RESIDUAL_CHATARRA,VALOR_CERO"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2026-08-24T21:33:58Z</dcterms:created>
  <dc:creator>openpyxl</dc:creator>
  <dc:description/>
  <dc:language>en-US</dc:language>
  <cp:lastModifiedBy/>
  <dcterms:modified xsi:type="dcterms:W3CDTF">2026-08-24T21:33:59Z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