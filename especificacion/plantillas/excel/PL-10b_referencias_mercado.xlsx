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VO" sheetId="1" state="visible" r:id="rId3"/>
    <sheet name="REFERENCI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<sst xmlns="http://schemas.openxmlformats.org/spreadsheetml/2006/main" count="94" uniqueCount="65">
  <si>
    <t xml:space="preserve">PL-10b - Registro de Referencias de Mercado</t>
  </si>
  <si>
    <t xml:space="preserve">Paso del proceso</t>
  </si>
  <si>
    <t xml:space="preserve">07 - Valuación técnica de muebles</t>
  </si>
  <si>
    <t xml:space="preserve">Responsable de diligenciar</t>
  </si>
  <si>
    <t xml:space="preserve">Firma contratista</t>
  </si>
  <si>
    <t xml:space="preserve">Documento de referencia</t>
  </si>
  <si>
    <t xml:space="preserve">07_VALUACION_TECNICA_DE_MUEBLES.md</t>
  </si>
  <si>
    <t xml:space="preserve">Se convierte en</t>
  </si>
  <si>
    <t xml:space="preserve">EN-07-04 Expediente de referencias de mercado</t>
  </si>
  <si>
    <t xml:space="preserve">QUE SE DEBE SOLICITAR ANTES DE DILIGENCIAR</t>
  </si>
  <si>
    <t xml:space="preserve">-</t>
  </si>
  <si>
    <t xml:space="preserve">IN-07-03 Cotizaciones de mínimo tres proveedores por familia de equipos</t>
  </si>
  <si>
    <t xml:space="preserve">IN-07-04 Precios de referencia de mercado secundario</t>
  </si>
  <si>
    <t xml:space="preserve">IN-07-05 Contratos de dotacion recientes de la E.S.E</t>
  </si>
  <si>
    <t xml:space="preserve">CODIGO DE COLORES</t>
  </si>
  <si>
    <t xml:space="preserve">Celda a diligenciar</t>
  </si>
  <si>
    <t xml:space="preserve">Usted debe escribir aquí.</t>
  </si>
  <si>
    <t xml:space="preserve">Celda calculada</t>
  </si>
  <si>
    <t xml:space="preserve">NO escribir: contiene formula. Se calcula sola.</t>
  </si>
  <si>
    <t xml:space="preserve">Fila de ejemplo</t>
  </si>
  <si>
    <t xml:space="preserve">Muestra el formato esperado. BORRELA antes de usar.</t>
  </si>
  <si>
    <t xml:space="preserve">Parámetro</t>
  </si>
  <si>
    <t xml:space="preserve">Configuracion de la entidad. Definalo una sola vez.</t>
  </si>
  <si>
    <t xml:space="preserve">REGLAS DE DILIGENCIAMIENTO</t>
  </si>
  <si>
    <t xml:space="preserve">Una cotizacion con mas de 12 meses NO sirve como soporte: la columna vigente lo advierte.</t>
  </si>
  <si>
    <t xml:space="preserve">Solicite mínimo tres cotizaciones por familia de equipos relevante.</t>
  </si>
  <si>
    <t xml:space="preserve">Esta biblioteca se reutiliza: un mismo valor de referencia sirve para varios bienes iguales.</t>
  </si>
  <si>
    <t xml:space="preserve">No cambie los nombres de las columnas: la aplicación los usa para importar.</t>
  </si>
  <si>
    <t xml:space="preserve">Fechas en formato AAAA-MM-DD. Valores en pesos, sin puntos ni simbolo $.</t>
  </si>
  <si>
    <t xml:space="preserve">Si un dato no existe, deje la celda vacia. NO escriba cero ni 'NO REGISTRA'.</t>
  </si>
  <si>
    <t xml:space="preserve">Borre la fila de ejemplo antes de entregar el archivo.</t>
  </si>
  <si>
    <t xml:space="preserve">DICCIONARIO DE COLUMNAS</t>
  </si>
  <si>
    <t xml:space="preserve">COLUMNA</t>
  </si>
  <si>
    <t xml:space="preserve">TIPO</t>
  </si>
  <si>
    <t xml:space="preserve">OBLIG.</t>
  </si>
  <si>
    <t xml:space="preserve">DESCRIPCION</t>
  </si>
  <si>
    <t xml:space="preserve">familia_equipo</t>
  </si>
  <si>
    <t xml:space="preserve">texto</t>
  </si>
  <si>
    <t xml:space="preserve">SI</t>
  </si>
  <si>
    <t xml:space="preserve">Agrupacion de equipos equivalentes.</t>
  </si>
  <si>
    <t xml:space="preserve">especificacion_equivalente</t>
  </si>
  <si>
    <t xml:space="preserve">Caracteristicas del equipo cotizado.</t>
  </si>
  <si>
    <t xml:space="preserve">proveedor</t>
  </si>
  <si>
    <t xml:space="preserve">valor_cotizado</t>
  </si>
  <si>
    <t xml:space="preserve">moneda</t>
  </si>
  <si>
    <t xml:space="preserve">Valor del equipo NUEVO.</t>
  </si>
  <si>
    <t xml:space="preserve">fecha_cotizacion</t>
  </si>
  <si>
    <t xml:space="preserve">fecha</t>
  </si>
  <si>
    <t xml:space="preserve">meses_antiguedad</t>
  </si>
  <si>
    <t xml:space="preserve">CALC</t>
  </si>
  <si>
    <t xml:space="preserve">CALCULADA contra la fecha de corte de la celda B3.</t>
  </si>
  <si>
    <t xml:space="preserve">vigente</t>
  </si>
  <si>
    <t xml:space="preserve">CALCULADA: vencida si supera 12 meses.</t>
  </si>
  <si>
    <t xml:space="preserve">soporte</t>
  </si>
  <si>
    <t xml:space="preserve">Archivo de la cotizacion.</t>
  </si>
  <si>
    <t xml:space="preserve">{{ENTIDAD_RAZON_SOCIAL}}</t>
  </si>
  <si>
    <t xml:space="preserve">FECHA DE CORTE:</t>
  </si>
  <si>
    <t xml:space="preserve">&lt;-- CAMBIE ESTA FECHA Y TODO SE RECALCULA</t>
  </si>
  <si>
    <t xml:space="preserve">SEDE:</t>
  </si>
  <si>
    <t xml:space="preserve">Amarillo = diligenciar   |   Gris = calculado, no escribir   |   Fila 7 = ejemplo, borrela</t>
  </si>
  <si>
    <t xml:space="preserve">AGITADORES DE LABORATORIO</t>
  </si>
  <si>
    <t xml:space="preserve">Agitador rotatorio 24 tubos, 110V</t>
  </si>
  <si>
    <t xml:space="preserve">DISTRIBUIDORA MEDICA S.A.S</t>
  </si>
  <si>
    <t xml:space="preserve">2026-09-20</t>
  </si>
  <si>
    <t xml:space="preserve">cot_distmedica_0920.pdf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</si>
</sst>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"/>
    <numFmt numFmtId="167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548235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1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78"/>
  </cols>
  <sheetData>
    <row r="2" customFormat="false" ht="17.35" hidden="false" customHeight="fals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4" t="s">
        <v>2</v>
      </c>
      <c r="D4" s="4"/>
      <c r="E4" s="4"/>
    </row>
    <row r="5" customFormat="false" ht="15" hidden="false" customHeight="true" outlineLevel="0" collapsed="false">
      <c r="B5" s="3" t="s">
        <v>3</v>
      </c>
      <c r="C5" s="4" t="s">
        <v>4</v>
      </c>
      <c r="D5" s="4"/>
      <c r="E5" s="4"/>
    </row>
    <row r="6" customFormat="false" ht="15" hidden="false" customHeight="true" outlineLevel="0" collapsed="false">
      <c r="B6" s="3" t="s">
        <v>5</v>
      </c>
      <c r="C6" s="4" t="s">
        <v>6</v>
      </c>
      <c r="D6" s="4"/>
      <c r="E6" s="4"/>
    </row>
    <row r="7" customFormat="false" ht="15" hidden="false" customHeight="true" outlineLevel="0" collapsed="false">
      <c r="B7" s="3" t="s">
        <v>7</v>
      </c>
      <c r="C7" s="4" t="s">
        <v>8</v>
      </c>
      <c r="D7" s="4"/>
      <c r="E7" s="4"/>
    </row>
    <row r="9" customFormat="false" ht="15" hidden="false" customHeight="false" outlineLevel="0" collapsed="false">
      <c r="B9" s="5" t="s">
        <v>9</v>
      </c>
    </row>
    <row r="10" customFormat="false" ht="15" hidden="false" customHeight="true" outlineLevel="0" collapsed="false">
      <c r="B10" s="6" t="s">
        <v>10</v>
      </c>
      <c r="C10" s="4" t="s">
        <v>11</v>
      </c>
      <c r="D10" s="4"/>
      <c r="E10" s="4"/>
    </row>
    <row r="11" customFormat="false" ht="15" hidden="false" customHeight="true" outlineLevel="0" collapsed="false">
      <c r="B11" s="6" t="s">
        <v>10</v>
      </c>
      <c r="C11" s="4" t="s">
        <v>12</v>
      </c>
      <c r="D11" s="4"/>
      <c r="E11" s="4"/>
    </row>
    <row r="12" customFormat="false" ht="15" hidden="false" customHeight="true" outlineLevel="0" collapsed="false">
      <c r="B12" s="6" t="s">
        <v>10</v>
      </c>
      <c r="C12" s="4" t="s">
        <v>13</v>
      </c>
      <c r="D12" s="4"/>
      <c r="E12" s="4"/>
    </row>
    <row r="14" customFormat="false" ht="15" hidden="false" customHeight="false" outlineLevel="0" collapsed="false">
      <c r="B14" s="5" t="s">
        <v>14</v>
      </c>
    </row>
    <row r="15" customFormat="false" ht="15" hidden="false" customHeight="false" outlineLevel="0" collapsed="false">
      <c r="B15" s="7" t="s">
        <v>15</v>
      </c>
      <c r="C15" s="8" t="s">
        <v>16</v>
      </c>
      <c r="D15" s="8"/>
      <c r="E15" s="8"/>
    </row>
    <row r="16" customFormat="false" ht="15" hidden="false" customHeight="false" outlineLevel="0" collapsed="false">
      <c r="B16" s="9" t="s">
        <v>17</v>
      </c>
      <c r="C16" s="8" t="s">
        <v>18</v>
      </c>
      <c r="D16" s="8"/>
      <c r="E16" s="8"/>
    </row>
    <row r="17" customFormat="false" ht="15" hidden="false" customHeight="false" outlineLevel="0" collapsed="false">
      <c r="B17" s="10" t="s">
        <v>19</v>
      </c>
      <c r="C17" s="8" t="s">
        <v>20</v>
      </c>
      <c r="D17" s="8"/>
      <c r="E17" s="8"/>
    </row>
    <row r="18" customFormat="false" ht="15" hidden="false" customHeight="false" outlineLevel="0" collapsed="false">
      <c r="B18" s="11" t="s">
        <v>21</v>
      </c>
      <c r="C18" s="8" t="s">
        <v>22</v>
      </c>
      <c r="D18" s="8"/>
      <c r="E18" s="8"/>
    </row>
    <row r="20" customFormat="false" ht="15" hidden="false" customHeight="false" outlineLevel="0" collapsed="false">
      <c r="B20" s="5" t="s">
        <v>23</v>
      </c>
    </row>
    <row r="21" customFormat="false" ht="15" hidden="false" customHeight="true" outlineLevel="0" collapsed="false">
      <c r="B21" s="6" t="s">
        <v>10</v>
      </c>
      <c r="C21" s="4" t="s">
        <v>24</v>
      </c>
      <c r="D21" s="4"/>
      <c r="E21" s="4"/>
    </row>
    <row r="22" customFormat="false" ht="15" hidden="false" customHeight="true" outlineLevel="0" collapsed="false">
      <c r="B22" s="6" t="s">
        <v>10</v>
      </c>
      <c r="C22" s="4" t="s">
        <v>25</v>
      </c>
      <c r="D22" s="4"/>
      <c r="E22" s="4"/>
    </row>
    <row r="23" customFormat="false" ht="15" hidden="false" customHeight="true" outlineLevel="0" collapsed="false">
      <c r="B23" s="6" t="s">
        <v>10</v>
      </c>
      <c r="C23" s="4" t="s">
        <v>26</v>
      </c>
      <c r="D23" s="4"/>
      <c r="E23" s="4"/>
    </row>
    <row r="24" customFormat="false" ht="15" hidden="false" customHeight="true" outlineLevel="0" collapsed="false">
      <c r="B24" s="6" t="s">
        <v>10</v>
      </c>
      <c r="C24" s="4" t="s">
        <v>27</v>
      </c>
      <c r="D24" s="4"/>
      <c r="E24" s="4"/>
    </row>
    <row r="25" customFormat="false" ht="15" hidden="false" customHeight="true" outlineLevel="0" collapsed="false">
      <c r="B25" s="6" t="s">
        <v>10</v>
      </c>
      <c r="C25" s="4" t="s">
        <v>28</v>
      </c>
      <c r="D25" s="4"/>
      <c r="E25" s="4"/>
    </row>
    <row r="26" customFormat="false" ht="15" hidden="false" customHeight="true" outlineLevel="0" collapsed="false">
      <c r="B26" s="6" t="s">
        <v>10</v>
      </c>
      <c r="C26" s="4" t="s">
        <v>29</v>
      </c>
      <c r="D26" s="4"/>
      <c r="E26" s="4"/>
    </row>
    <row r="27" customFormat="false" ht="15" hidden="false" customHeight="true" outlineLevel="0" collapsed="false">
      <c r="B27" s="6" t="s">
        <v>10</v>
      </c>
      <c r="C27" s="4" t="s">
        <v>30</v>
      </c>
      <c r="D27" s="4"/>
      <c r="E27" s="4"/>
    </row>
    <row r="29" customFormat="false" ht="15" hidden="false" customHeight="false" outlineLevel="0" collapsed="false">
      <c r="B29" s="5" t="s">
        <v>31</v>
      </c>
    </row>
    <row r="30" customFormat="false" ht="15" hidden="false" customHeight="false" outlineLevel="0" collapsed="false">
      <c r="B30" s="12" t="s">
        <v>32</v>
      </c>
      <c r="C30" s="12" t="s">
        <v>33</v>
      </c>
      <c r="D30" s="12" t="s">
        <v>34</v>
      </c>
      <c r="E30" s="12" t="s">
        <v>35</v>
      </c>
    </row>
    <row r="31" customFormat="false" ht="15" hidden="false" customHeight="false" outlineLevel="0" collapsed="false">
      <c r="B31" s="13" t="s">
        <v>36</v>
      </c>
      <c r="C31" s="13" t="s">
        <v>37</v>
      </c>
      <c r="D31" s="14" t="s">
        <v>38</v>
      </c>
      <c r="E31" s="15" t="s">
        <v>39</v>
      </c>
    </row>
    <row r="32" customFormat="false" ht="15" hidden="false" customHeight="false" outlineLevel="0" collapsed="false">
      <c r="B32" s="13" t="s">
        <v>40</v>
      </c>
      <c r="C32" s="13" t="s">
        <v>37</v>
      </c>
      <c r="D32" s="14" t="s">
        <v>38</v>
      </c>
      <c r="E32" s="15" t="s">
        <v>41</v>
      </c>
    </row>
    <row r="33" customFormat="false" ht="15" hidden="false" customHeight="false" outlineLevel="0" collapsed="false">
      <c r="B33" s="13" t="s">
        <v>42</v>
      </c>
      <c r="C33" s="13" t="s">
        <v>37</v>
      </c>
      <c r="D33" s="14" t="s">
        <v>38</v>
      </c>
      <c r="E33" s="15"/>
    </row>
    <row r="34" customFormat="false" ht="15" hidden="false" customHeight="false" outlineLevel="0" collapsed="false">
      <c r="B34" s="13" t="s">
        <v>43</v>
      </c>
      <c r="C34" s="13" t="s">
        <v>44</v>
      </c>
      <c r="D34" s="14" t="s">
        <v>38</v>
      </c>
      <c r="E34" s="15" t="s">
        <v>45</v>
      </c>
    </row>
    <row r="35" customFormat="false" ht="15" hidden="false" customHeight="false" outlineLevel="0" collapsed="false">
      <c r="B35" s="13" t="s">
        <v>46</v>
      </c>
      <c r="C35" s="13" t="s">
        <v>47</v>
      </c>
      <c r="D35" s="14" t="s">
        <v>38</v>
      </c>
      <c r="E35" s="15"/>
    </row>
    <row r="36" customFormat="false" ht="15" hidden="false" customHeight="false" outlineLevel="0" collapsed="false">
      <c r="B36" s="16" t="s">
        <v>48</v>
      </c>
      <c r="C36" s="16" t="s">
        <v>37</v>
      </c>
      <c r="D36" s="17" t="s">
        <v>49</v>
      </c>
      <c r="E36" s="18" t="s">
        <v>50</v>
      </c>
    </row>
    <row r="37" customFormat="false" ht="15" hidden="false" customHeight="false" outlineLevel="0" collapsed="false">
      <c r="B37" s="16" t="s">
        <v>51</v>
      </c>
      <c r="C37" s="16" t="s">
        <v>37</v>
      </c>
      <c r="D37" s="17" t="s">
        <v>49</v>
      </c>
      <c r="E37" s="18" t="s">
        <v>52</v>
      </c>
    </row>
    <row r="38" customFormat="false" ht="15" hidden="false" customHeight="false" outlineLevel="0" collapsed="false">
      <c r="B38" s="13" t="s">
        <v>53</v>
      </c>
      <c r="C38" s="13" t="s">
        <v>37</v>
      </c>
      <c r="D38" s="14" t="s">
        <v>38</v>
      </c>
      <c r="E38" s="15" t="s">
        <v>54</v>
      </c>
    </row>
  </sheetData>
  <mergeCells count="18">
    <mergeCell ref="C4:E4"/>
    <mergeCell ref="C5:E5"/>
    <mergeCell ref="C6:E6"/>
    <mergeCell ref="C7:E7"/>
    <mergeCell ref="C10:E10"/>
    <mergeCell ref="C11:E11"/>
    <mergeCell ref="C12:E12"/>
    <mergeCell ref="C15:E15"/>
    <mergeCell ref="C16:E16"/>
    <mergeCell ref="C17:E17"/>
    <mergeCell ref="C18:E18"/>
    <mergeCell ref="C21:E21"/>
    <mergeCell ref="C22:E22"/>
    <mergeCell ref="C23:E23"/>
    <mergeCell ref="C24:E24"/>
    <mergeCell ref="C25:E25"/>
    <mergeCell ref="C26:E26"/>
    <mergeCell ref="C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8"/>
    <col collapsed="false" customWidth="true" hidden="false" outlineLevel="0" max="3" min="3" style="1" width="28"/>
    <col collapsed="false" customWidth="true" hidden="false" outlineLevel="0" max="4" min="4" style="1" width="18"/>
    <col collapsed="false" customWidth="true" hidden="false" outlineLevel="0" max="5" min="5" style="1" width="15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8" min="8" style="1" width="26"/>
  </cols>
  <sheetData>
    <row r="1" customFormat="false" ht="15" hidden="false" customHeight="false" outlineLevel="0" collapsed="false">
      <c r="A1" s="19" t="s">
        <v>55</v>
      </c>
      <c r="B1" s="19"/>
      <c r="C1" s="19"/>
      <c r="D1" s="19"/>
      <c r="E1" s="19"/>
      <c r="F1" s="19"/>
      <c r="G1" s="19"/>
      <c r="H1" s="19"/>
    </row>
    <row r="2" customFormat="false" ht="15" hidden="false" customHeight="false" outlineLevel="0" collapsed="false">
      <c r="A2" s="20" t="s">
        <v>0</v>
      </c>
      <c r="B2" s="20"/>
      <c r="C2" s="20"/>
      <c r="D2" s="20"/>
      <c r="E2" s="20"/>
      <c r="F2" s="20"/>
      <c r="G2" s="20"/>
      <c r="H2" s="20"/>
    </row>
    <row r="3" customFormat="false" ht="15" hidden="false" customHeight="false" outlineLevel="0" collapsed="false">
      <c r="A3" s="3" t="s">
        <v>56</v>
      </c>
      <c r="B3" s="21" t="n">
        <v>46295</v>
      </c>
      <c r="C3" s="22" t="s">
        <v>57</v>
      </c>
      <c r="D3" s="3" t="s">
        <v>58</v>
      </c>
      <c r="E3" s="23"/>
    </row>
    <row r="4" customFormat="false" ht="15" hidden="false" customHeight="false" outlineLevel="0" collapsed="false">
      <c r="A4" s="24" t="s">
        <v>59</v>
      </c>
    </row>
    <row r="6" customFormat="false" ht="33.75" hidden="false" customHeight="true" outlineLevel="0" collapsed="false">
      <c r="A6" s="25" t="s">
        <v>36</v>
      </c>
      <c r="B6" s="25" t="s">
        <v>40</v>
      </c>
      <c r="C6" s="25" t="s">
        <v>42</v>
      </c>
      <c r="D6" s="25" t="s">
        <v>43</v>
      </c>
      <c r="E6" s="25" t="s">
        <v>46</v>
      </c>
      <c r="F6" s="26" t="s">
        <v>48</v>
      </c>
      <c r="G6" s="26" t="s">
        <v>51</v>
      </c>
      <c r="H6" s="25" t="s">
        <v>53</v>
      </c>
    </row>
    <row r="7" customFormat="false" ht="15" hidden="false" customHeight="false" outlineLevel="0" collapsed="false">
      <c r="A7" s="27" t="s">
        <v>60</v>
      </c>
      <c r="B7" s="28" t="s">
        <v>61</v>
      </c>
      <c r="C7" s="27" t="s">
        <v>62</v>
      </c>
      <c r="D7" s="29" t="n">
        <v>3500000</v>
      </c>
      <c r="E7" s="30" t="s">
        <v>63</v>
      </c>
      <c r="F7" s="31" t="n">
        <f aca="false">IF($E7="","",($B$3-$E7)/365.25*12)</f>
        <v>0.328542094455852</v>
      </c>
      <c r="G7" s="27" t="str">
        <f aca="false">IF($F7="","",IF($F7&lt;=12,"VIGENTE","VENCIDA"))</f>
        <v>VIGENTE</v>
      </c>
      <c r="H7" s="27" t="s">
        <v>64</v>
      </c>
    </row>
    <row r="8" customFormat="false" ht="15" hidden="false" customHeight="false" outlineLevel="0" collapsed="false">
      <c r="A8" s="32"/>
      <c r="B8" s="33"/>
      <c r="C8" s="32"/>
      <c r="D8" s="34"/>
      <c r="E8" s="35"/>
      <c r="F8" s="36" t="str">
        <f aca="false">IF($E8="","",($B$3-$E8)/365.25*12)</f>
        <v/>
      </c>
      <c r="G8" s="16" t="str">
        <f aca="false">IF($F8="","",IF($F8&lt;=12,"VIGENTE","VENCIDA"))</f>
        <v/>
      </c>
      <c r="H8" s="32"/>
    </row>
    <row r="9" customFormat="false" ht="15" hidden="false" customHeight="false" outlineLevel="0" collapsed="false">
      <c r="A9" s="32"/>
      <c r="B9" s="33"/>
      <c r="C9" s="32"/>
      <c r="D9" s="34"/>
      <c r="E9" s="35"/>
      <c r="F9" s="36" t="str">
        <f aca="false">IF($E9="","",($B$3-$E9)/365.25*12)</f>
        <v/>
      </c>
      <c r="G9" s="16" t="str">
        <f aca="false">IF($F9="","",IF($F9&lt;=12,"VIGENTE","VENCIDA"))</f>
        <v/>
      </c>
      <c r="H9" s="32"/>
    </row>
    <row r="10" customFormat="false" ht="15" hidden="false" customHeight="false" outlineLevel="0" collapsed="false">
      <c r="A10" s="32"/>
      <c r="B10" s="33"/>
      <c r="C10" s="32"/>
      <c r="D10" s="34"/>
      <c r="E10" s="35"/>
      <c r="F10" s="36" t="str">
        <f aca="false">IF($E10="","",($B$3-$E10)/365.25*12)</f>
        <v/>
      </c>
      <c r="G10" s="16" t="str">
        <f aca="false">IF($F10="","",IF($F10&lt;=12,"VIGENTE","VENCIDA"))</f>
        <v/>
      </c>
      <c r="H10" s="32"/>
    </row>
    <row r="11" customFormat="false" ht="15" hidden="false" customHeight="false" outlineLevel="0" collapsed="false">
      <c r="A11" s="32"/>
      <c r="B11" s="33"/>
      <c r="C11" s="32"/>
      <c r="D11" s="34"/>
      <c r="E11" s="35"/>
      <c r="F11" s="36" t="str">
        <f aca="false">IF($E11="","",($B$3-$E11)/365.25*12)</f>
        <v/>
      </c>
      <c r="G11" s="16" t="str">
        <f aca="false">IF($F11="","",IF($F11&lt;=12,"VIGENTE","VENCIDA"))</f>
        <v/>
      </c>
      <c r="H11" s="32"/>
    </row>
    <row r="12" customFormat="false" ht="15" hidden="false" customHeight="false" outlineLevel="0" collapsed="false">
      <c r="A12" s="32"/>
      <c r="B12" s="33"/>
      <c r="C12" s="32"/>
      <c r="D12" s="34"/>
      <c r="E12" s="35"/>
      <c r="F12" s="36" t="str">
        <f aca="false">IF($E12="","",($B$3-$E12)/365.25*12)</f>
        <v/>
      </c>
      <c r="G12" s="16" t="str">
        <f aca="false">IF($F12="","",IF($F12&lt;=12,"VIGENTE","VENCIDA"))</f>
        <v/>
      </c>
      <c r="H12" s="32"/>
    </row>
    <row r="13" customFormat="false" ht="15" hidden="false" customHeight="false" outlineLevel="0" collapsed="false">
      <c r="A13" s="32"/>
      <c r="B13" s="33"/>
      <c r="C13" s="32"/>
      <c r="D13" s="34"/>
      <c r="E13" s="35"/>
      <c r="F13" s="36" t="str">
        <f aca="false">IF($E13="","",($B$3-$E13)/365.25*12)</f>
        <v/>
      </c>
      <c r="G13" s="16" t="str">
        <f aca="false">IF($F13="","",IF($F13&lt;=12,"VIGENTE","VENCIDA"))</f>
        <v/>
      </c>
      <c r="H13" s="32"/>
    </row>
    <row r="14" customFormat="false" ht="15" hidden="false" customHeight="false" outlineLevel="0" collapsed="false">
      <c r="A14" s="32"/>
      <c r="B14" s="33"/>
      <c r="C14" s="32"/>
      <c r="D14" s="34"/>
      <c r="E14" s="35"/>
      <c r="F14" s="36" t="str">
        <f aca="false">IF($E14="","",($B$3-$E14)/365.25*12)</f>
        <v/>
      </c>
      <c r="G14" s="16" t="str">
        <f aca="false">IF($F14="","",IF($F14&lt;=12,"VIGENTE","VENCIDA"))</f>
        <v/>
      </c>
      <c r="H14" s="32"/>
    </row>
    <row r="15" customFormat="false" ht="15" hidden="false" customHeight="false" outlineLevel="0" collapsed="false">
      <c r="A15" s="32"/>
      <c r="B15" s="33"/>
      <c r="C15" s="32"/>
      <c r="D15" s="34"/>
      <c r="E15" s="35"/>
      <c r="F15" s="36" t="str">
        <f aca="false">IF($E15="","",($B$3-$E15)/365.25*12)</f>
        <v/>
      </c>
      <c r="G15" s="16" t="str">
        <f aca="false">IF($F15="","",IF($F15&lt;=12,"VIGENTE","VENCIDA"))</f>
        <v/>
      </c>
      <c r="H15" s="32"/>
    </row>
    <row r="16" customFormat="false" ht="15" hidden="false" customHeight="false" outlineLevel="0" collapsed="false">
      <c r="A16" s="32"/>
      <c r="B16" s="33"/>
      <c r="C16" s="32"/>
      <c r="D16" s="34"/>
      <c r="E16" s="35"/>
      <c r="F16" s="36" t="str">
        <f aca="false">IF($E16="","",($B$3-$E16)/365.25*12)</f>
        <v/>
      </c>
      <c r="G16" s="16" t="str">
        <f aca="false">IF($F16="","",IF($F16&lt;=12,"VIGENTE","VENCIDA"))</f>
        <v/>
      </c>
      <c r="H16" s="32"/>
    </row>
    <row r="17" customFormat="false" ht="15" hidden="false" customHeight="false" outlineLevel="0" collapsed="false">
      <c r="A17" s="32"/>
      <c r="B17" s="33"/>
      <c r="C17" s="32"/>
      <c r="D17" s="34"/>
      <c r="E17" s="35"/>
      <c r="F17" s="36" t="str">
        <f aca="false">IF($E17="","",($B$3-$E17)/365.25*12)</f>
        <v/>
      </c>
      <c r="G17" s="16" t="str">
        <f aca="false">IF($F17="","",IF($F17&lt;=12,"VIGENTE","VENCIDA"))</f>
        <v/>
      </c>
      <c r="H17" s="32"/>
    </row>
    <row r="18" customFormat="false" ht="15" hidden="false" customHeight="false" outlineLevel="0" collapsed="false">
      <c r="A18" s="32"/>
      <c r="B18" s="33"/>
      <c r="C18" s="32"/>
      <c r="D18" s="34"/>
      <c r="E18" s="35"/>
      <c r="F18" s="36" t="str">
        <f aca="false">IF($E18="","",($B$3-$E18)/365.25*12)</f>
        <v/>
      </c>
      <c r="G18" s="16" t="str">
        <f aca="false">IF($F18="","",IF($F18&lt;=12,"VIGENTE","VENCIDA"))</f>
        <v/>
      </c>
      <c r="H18" s="32"/>
    </row>
    <row r="19" customFormat="false" ht="15" hidden="false" customHeight="false" outlineLevel="0" collapsed="false">
      <c r="A19" s="32"/>
      <c r="B19" s="33"/>
      <c r="C19" s="32"/>
      <c r="D19" s="34"/>
      <c r="E19" s="35"/>
      <c r="F19" s="36" t="str">
        <f aca="false">IF($E19="","",($B$3-$E19)/365.25*12)</f>
        <v/>
      </c>
      <c r="G19" s="16" t="str">
        <f aca="false">IF($F19="","",IF($F19&lt;=12,"VIGENTE","VENCIDA"))</f>
        <v/>
      </c>
      <c r="H19" s="32"/>
    </row>
    <row r="20" customFormat="false" ht="15" hidden="false" customHeight="false" outlineLevel="0" collapsed="false">
      <c r="A20" s="32"/>
      <c r="B20" s="33"/>
      <c r="C20" s="32"/>
      <c r="D20" s="34"/>
      <c r="E20" s="35"/>
      <c r="F20" s="36" t="str">
        <f aca="false">IF($E20="","",($B$3-$E20)/365.25*12)</f>
        <v/>
      </c>
      <c r="G20" s="16" t="str">
        <f aca="false">IF($F20="","",IF($F20&lt;=12,"VIGENTE","VENCIDA"))</f>
        <v/>
      </c>
      <c r="H20" s="32"/>
    </row>
    <row r="21" customFormat="false" ht="15" hidden="false" customHeight="false" outlineLevel="0" collapsed="false">
      <c r="A21" s="32"/>
      <c r="B21" s="33"/>
      <c r="C21" s="32"/>
      <c r="D21" s="34"/>
      <c r="E21" s="35"/>
      <c r="F21" s="36" t="str">
        <f aca="false">IF($E21="","",($B$3-$E21)/365.25*12)</f>
        <v/>
      </c>
      <c r="G21" s="16" t="str">
        <f aca="false">IF($F21="","",IF($F21&lt;=12,"VIGENTE","VENCIDA"))</f>
        <v/>
      </c>
      <c r="H21" s="32"/>
    </row>
    <row r="22" customFormat="false" ht="15" hidden="false" customHeight="false" outlineLevel="0" collapsed="false">
      <c r="A22" s="32"/>
      <c r="B22" s="33"/>
      <c r="C22" s="32"/>
      <c r="D22" s="34"/>
      <c r="E22" s="35"/>
      <c r="F22" s="36" t="str">
        <f aca="false">IF($E22="","",($B$3-$E22)/365.25*12)</f>
        <v/>
      </c>
      <c r="G22" s="16" t="str">
        <f aca="false">IF($F22="","",IF($F22&lt;=12,"VIGENTE","VENCIDA"))</f>
        <v/>
      </c>
      <c r="H22" s="32"/>
    </row>
    <row r="23" customFormat="false" ht="15" hidden="false" customHeight="false" outlineLevel="0" collapsed="false">
      <c r="A23" s="32"/>
      <c r="B23" s="33"/>
      <c r="C23" s="32"/>
      <c r="D23" s="34"/>
      <c r="E23" s="35"/>
      <c r="F23" s="36" t="str">
        <f aca="false">IF($E23="","",($B$3-$E23)/365.25*12)</f>
        <v/>
      </c>
      <c r="G23" s="16" t="str">
        <f aca="false">IF($F23="","",IF($F23&lt;=12,"VIGENTE","VENCIDA"))</f>
        <v/>
      </c>
      <c r="H23" s="32"/>
    </row>
    <row r="24" customFormat="false" ht="15" hidden="false" customHeight="false" outlineLevel="0" collapsed="false">
      <c r="A24" s="32"/>
      <c r="B24" s="33"/>
      <c r="C24" s="32"/>
      <c r="D24" s="34"/>
      <c r="E24" s="35"/>
      <c r="F24" s="36" t="str">
        <f aca="false">IF($E24="","",($B$3-$E24)/365.25*12)</f>
        <v/>
      </c>
      <c r="G24" s="16" t="str">
        <f aca="false">IF($F24="","",IF($F24&lt;=12,"VIGENTE","VENCIDA"))</f>
        <v/>
      </c>
      <c r="H24" s="32"/>
    </row>
    <row r="25" customFormat="false" ht="15" hidden="false" customHeight="false" outlineLevel="0" collapsed="false">
      <c r="A25" s="32"/>
      <c r="B25" s="33"/>
      <c r="C25" s="32"/>
      <c r="D25" s="34"/>
      <c r="E25" s="35"/>
      <c r="F25" s="36" t="str">
        <f aca="false">IF($E25="","",($B$3-$E25)/365.25*12)</f>
        <v/>
      </c>
      <c r="G25" s="16" t="str">
        <f aca="false">IF($F25="","",IF($F25&lt;=12,"VIGENTE","VENCIDA"))</f>
        <v/>
      </c>
      <c r="H25" s="32"/>
    </row>
    <row r="26" customFormat="false" ht="15" hidden="false" customHeight="false" outlineLevel="0" collapsed="false">
      <c r="A26" s="32"/>
      <c r="B26" s="33"/>
      <c r="C26" s="32"/>
      <c r="D26" s="34"/>
      <c r="E26" s="35"/>
      <c r="F26" s="36" t="str">
        <f aca="false">IF($E26="","",($B$3-$E26)/365.25*12)</f>
        <v/>
      </c>
      <c r="G26" s="16" t="str">
        <f aca="false">IF($F26="","",IF($F26&lt;=12,"VIGENTE","VENCIDA"))</f>
        <v/>
      </c>
      <c r="H26" s="32"/>
    </row>
    <row r="27" customFormat="false" ht="15" hidden="false" customHeight="false" outlineLevel="0" collapsed="false">
      <c r="A27" s="32"/>
      <c r="B27" s="33"/>
      <c r="C27" s="32"/>
      <c r="D27" s="34"/>
      <c r="E27" s="35"/>
      <c r="F27" s="36" t="str">
        <f aca="false">IF($E27="","",($B$3-$E27)/365.25*12)</f>
        <v/>
      </c>
      <c r="G27" s="16" t="str">
        <f aca="false">IF($F27="","",IF($F27&lt;=12,"VIGENTE","VENCIDA"))</f>
        <v/>
      </c>
      <c r="H27" s="32"/>
    </row>
    <row r="28" customFormat="false" ht="15" hidden="false" customHeight="false" outlineLevel="0" collapsed="false">
      <c r="A28" s="32"/>
      <c r="B28" s="33"/>
      <c r="C28" s="32"/>
      <c r="D28" s="34"/>
      <c r="E28" s="35"/>
      <c r="F28" s="36" t="str">
        <f aca="false">IF($E28="","",($B$3-$E28)/365.25*12)</f>
        <v/>
      </c>
      <c r="G28" s="16" t="str">
        <f aca="false">IF($F28="","",IF($F28&lt;=12,"VIGENTE","VENCIDA"))</f>
        <v/>
      </c>
      <c r="H28" s="32"/>
    </row>
    <row r="29" customFormat="false" ht="15" hidden="false" customHeight="false" outlineLevel="0" collapsed="false">
      <c r="A29" s="32"/>
      <c r="B29" s="33"/>
      <c r="C29" s="32"/>
      <c r="D29" s="34"/>
      <c r="E29" s="35"/>
      <c r="F29" s="36" t="str">
        <f aca="false">IF($E29="","",($B$3-$E29)/365.25*12)</f>
        <v/>
      </c>
      <c r="G29" s="16" t="str">
        <f aca="false">IF($F29="","",IF($F29&lt;=12,"VIGENTE","VENCIDA"))</f>
        <v/>
      </c>
      <c r="H29" s="32"/>
    </row>
    <row r="30" customFormat="false" ht="15" hidden="false" customHeight="false" outlineLevel="0" collapsed="false">
      <c r="A30" s="32"/>
      <c r="B30" s="33"/>
      <c r="C30" s="32"/>
      <c r="D30" s="34"/>
      <c r="E30" s="35"/>
      <c r="F30" s="36" t="str">
        <f aca="false">IF($E30="","",($B$3-$E30)/365.25*12)</f>
        <v/>
      </c>
      <c r="G30" s="16" t="str">
        <f aca="false">IF($F30="","",IF($F30&lt;=12,"VIGENTE","VENCIDA"))</f>
        <v/>
      </c>
      <c r="H30" s="32"/>
    </row>
    <row r="31" customFormat="false" ht="15" hidden="false" customHeight="false" outlineLevel="0" collapsed="false">
      <c r="A31" s="32"/>
      <c r="B31" s="33"/>
      <c r="C31" s="32"/>
      <c r="D31" s="34"/>
      <c r="E31" s="35"/>
      <c r="F31" s="36" t="str">
        <f aca="false">IF($E31="","",($B$3-$E31)/365.25*12)</f>
        <v/>
      </c>
      <c r="G31" s="16" t="str">
        <f aca="false">IF($F31="","",IF($F31&lt;=12,"VIGENTE","VENCIDA"))</f>
        <v/>
      </c>
      <c r="H31" s="32"/>
    </row>
    <row r="32" customFormat="false" ht="15" hidden="false" customHeight="false" outlineLevel="0" collapsed="false">
      <c r="A32" s="32"/>
      <c r="B32" s="33"/>
      <c r="C32" s="32"/>
      <c r="D32" s="34"/>
      <c r="E32" s="35"/>
      <c r="F32" s="36" t="str">
        <f aca="false">IF($E32="","",($B$3-$E32)/365.25*12)</f>
        <v/>
      </c>
      <c r="G32" s="16" t="str">
        <f aca="false">IF($F32="","",IF($F32&lt;=12,"VIGENTE","VENCIDA"))</f>
        <v/>
      </c>
      <c r="H32" s="32"/>
    </row>
    <row r="33" customFormat="false" ht="15" hidden="false" customHeight="false" outlineLevel="0" collapsed="false">
      <c r="A33" s="32"/>
      <c r="B33" s="33"/>
      <c r="C33" s="32"/>
      <c r="D33" s="34"/>
      <c r="E33" s="35"/>
      <c r="F33" s="36" t="str">
        <f aca="false">IF($E33="","",($B$3-$E33)/365.25*12)</f>
        <v/>
      </c>
      <c r="G33" s="16" t="str">
        <f aca="false">IF($F33="","",IF($F33&lt;=12,"VIGENTE","VENCIDA"))</f>
        <v/>
      </c>
      <c r="H33" s="32"/>
    </row>
    <row r="34" customFormat="false" ht="15" hidden="false" customHeight="false" outlineLevel="0" collapsed="false">
      <c r="A34" s="32"/>
      <c r="B34" s="33"/>
      <c r="C34" s="32"/>
      <c r="D34" s="34"/>
      <c r="E34" s="35"/>
      <c r="F34" s="36" t="str">
        <f aca="false">IF($E34="","",($B$3-$E34)/365.25*12)</f>
        <v/>
      </c>
      <c r="G34" s="16" t="str">
        <f aca="false">IF($F34="","",IF($F34&lt;=12,"VIGENTE","VENCIDA"))</f>
        <v/>
      </c>
      <c r="H34" s="32"/>
    </row>
    <row r="35" customFormat="false" ht="15" hidden="false" customHeight="false" outlineLevel="0" collapsed="false">
      <c r="A35" s="32"/>
      <c r="B35" s="33"/>
      <c r="C35" s="32"/>
      <c r="D35" s="34"/>
      <c r="E35" s="35"/>
      <c r="F35" s="36" t="str">
        <f aca="false">IF($E35="","",($B$3-$E35)/365.25*12)</f>
        <v/>
      </c>
      <c r="G35" s="16" t="str">
        <f aca="false">IF($F35="","",IF($F35&lt;=12,"VIGENTE","VENCIDA"))</f>
        <v/>
      </c>
      <c r="H35" s="32"/>
    </row>
    <row r="36" customFormat="false" ht="15" hidden="false" customHeight="false" outlineLevel="0" collapsed="false">
      <c r="A36" s="32"/>
      <c r="B36" s="33"/>
      <c r="C36" s="32"/>
      <c r="D36" s="34"/>
      <c r="E36" s="35"/>
      <c r="F36" s="36" t="str">
        <f aca="false">IF($E36="","",($B$3-$E36)/365.25*12)</f>
        <v/>
      </c>
      <c r="G36" s="16" t="str">
        <f aca="false">IF($F36="","",IF($F36&lt;=12,"VIGENTE","VENCIDA"))</f>
        <v/>
      </c>
      <c r="H36" s="32"/>
    </row>
    <row r="37" customFormat="false" ht="15" hidden="false" customHeight="false" outlineLevel="0" collapsed="false">
      <c r="A37" s="32"/>
      <c r="B37" s="33"/>
      <c r="C37" s="32"/>
      <c r="D37" s="34"/>
      <c r="E37" s="35"/>
      <c r="F37" s="36" t="str">
        <f aca="false">IF($E37="","",($B$3-$E37)/365.25*12)</f>
        <v/>
      </c>
      <c r="G37" s="16" t="str">
        <f aca="false">IF($F37="","",IF($F37&lt;=12,"VIGENTE","VENCIDA"))</f>
        <v/>
      </c>
      <c r="H37" s="32"/>
    </row>
    <row r="38" customFormat="false" ht="15" hidden="false" customHeight="false" outlineLevel="0" collapsed="false">
      <c r="A38" s="32"/>
      <c r="B38" s="33"/>
      <c r="C38" s="32"/>
      <c r="D38" s="34"/>
      <c r="E38" s="35"/>
      <c r="F38" s="36" t="str">
        <f aca="false">IF($E38="","",($B$3-$E38)/365.25*12)</f>
        <v/>
      </c>
      <c r="G38" s="16" t="str">
        <f aca="false">IF($F38="","",IF($F38&lt;=12,"VIGENTE","VENCIDA"))</f>
        <v/>
      </c>
      <c r="H38" s="32"/>
    </row>
    <row r="39" customFormat="false" ht="15" hidden="false" customHeight="false" outlineLevel="0" collapsed="false">
      <c r="A39" s="32"/>
      <c r="B39" s="33"/>
      <c r="C39" s="32"/>
      <c r="D39" s="34"/>
      <c r="E39" s="35"/>
      <c r="F39" s="36" t="str">
        <f aca="false">IF($E39="","",($B$3-$E39)/365.25*12)</f>
        <v/>
      </c>
      <c r="G39" s="16" t="str">
        <f aca="false">IF($F39="","",IF($F39&lt;=12,"VIGENTE","VENCIDA"))</f>
        <v/>
      </c>
      <c r="H39" s="32"/>
    </row>
    <row r="40" customFormat="false" ht="15" hidden="false" customHeight="false" outlineLevel="0" collapsed="false">
      <c r="A40" s="32"/>
      <c r="B40" s="33"/>
      <c r="C40" s="32"/>
      <c r="D40" s="34"/>
      <c r="E40" s="35"/>
      <c r="F40" s="36" t="str">
        <f aca="false">IF($E40="","",($B$3-$E40)/365.25*12)</f>
        <v/>
      </c>
      <c r="G40" s="16" t="str">
        <f aca="false">IF($F40="","",IF($F40&lt;=12,"VIGENTE","VENCIDA"))</f>
        <v/>
      </c>
      <c r="H40" s="32"/>
    </row>
    <row r="41" customFormat="false" ht="15" hidden="false" customHeight="false" outlineLevel="0" collapsed="false">
      <c r="A41" s="32"/>
      <c r="B41" s="33"/>
      <c r="C41" s="32"/>
      <c r="D41" s="34"/>
      <c r="E41" s="35"/>
      <c r="F41" s="36" t="str">
        <f aca="false">IF($E41="","",($B$3-$E41)/365.25*12)</f>
        <v/>
      </c>
      <c r="G41" s="16" t="str">
        <f aca="false">IF($F41="","",IF($F41&lt;=12,"VIGENTE","VENCIDA"))</f>
        <v/>
      </c>
      <c r="H41" s="32"/>
    </row>
    <row r="42" customFormat="false" ht="15" hidden="false" customHeight="false" outlineLevel="0" collapsed="false">
      <c r="A42" s="32"/>
      <c r="B42" s="33"/>
      <c r="C42" s="32"/>
      <c r="D42" s="34"/>
      <c r="E42" s="35"/>
      <c r="F42" s="36" t="str">
        <f aca="false">IF($E42="","",($B$3-$E42)/365.25*12)</f>
        <v/>
      </c>
      <c r="G42" s="16" t="str">
        <f aca="false">IF($F42="","",IF($F42&lt;=12,"VIGENTE","VENCIDA"))</f>
        <v/>
      </c>
      <c r="H42" s="32"/>
    </row>
    <row r="43" customFormat="false" ht="15" hidden="false" customHeight="false" outlineLevel="0" collapsed="false">
      <c r="A43" s="32"/>
      <c r="B43" s="33"/>
      <c r="C43" s="32"/>
      <c r="D43" s="34"/>
      <c r="E43" s="35"/>
      <c r="F43" s="36" t="str">
        <f aca="false">IF($E43="","",($B$3-$E43)/365.25*12)</f>
        <v/>
      </c>
      <c r="G43" s="16" t="str">
        <f aca="false">IF($F43="","",IF($F43&lt;=12,"VIGENTE","VENCIDA"))</f>
        <v/>
      </c>
      <c r="H43" s="32"/>
    </row>
    <row r="44" customFormat="false" ht="15" hidden="false" customHeight="false" outlineLevel="0" collapsed="false">
      <c r="A44" s="32"/>
      <c r="B44" s="33"/>
      <c r="C44" s="32"/>
      <c r="D44" s="34"/>
      <c r="E44" s="35"/>
      <c r="F44" s="36" t="str">
        <f aca="false">IF($E44="","",($B$3-$E44)/365.25*12)</f>
        <v/>
      </c>
      <c r="G44" s="16" t="str">
        <f aca="false">IF($F44="","",IF($F44&lt;=12,"VIGENTE","VENCIDA"))</f>
        <v/>
      </c>
      <c r="H44" s="32"/>
    </row>
    <row r="45" customFormat="false" ht="15" hidden="false" customHeight="false" outlineLevel="0" collapsed="false">
      <c r="A45" s="32"/>
      <c r="B45" s="33"/>
      <c r="C45" s="32"/>
      <c r="D45" s="34"/>
      <c r="E45" s="35"/>
      <c r="F45" s="36" t="str">
        <f aca="false">IF($E45="","",($B$3-$E45)/365.25*12)</f>
        <v/>
      </c>
      <c r="G45" s="16" t="str">
        <f aca="false">IF($F45="","",IF($F45&lt;=12,"VIGENTE","VENCIDA"))</f>
        <v/>
      </c>
      <c r="H45" s="32"/>
    </row>
    <row r="46" customFormat="false" ht="15" hidden="false" customHeight="false" outlineLevel="0" collapsed="false">
      <c r="A46" s="32"/>
      <c r="B46" s="33"/>
      <c r="C46" s="32"/>
      <c r="D46" s="34"/>
      <c r="E46" s="35"/>
      <c r="F46" s="36" t="str">
        <f aca="false">IF($E46="","",($B$3-$E46)/365.25*12)</f>
        <v/>
      </c>
      <c r="G46" s="16" t="str">
        <f aca="false">IF($F46="","",IF($F46&lt;=12,"VIGENTE","VENCIDA"))</f>
        <v/>
      </c>
      <c r="H46" s="32"/>
    </row>
    <row r="47" customFormat="false" ht="15" hidden="false" customHeight="false" outlineLevel="0" collapsed="false">
      <c r="A47" s="32"/>
      <c r="B47" s="33"/>
      <c r="C47" s="32"/>
      <c r="D47" s="34"/>
      <c r="E47" s="35"/>
      <c r="F47" s="36" t="str">
        <f aca="false">IF($E47="","",($B$3-$E47)/365.25*12)</f>
        <v/>
      </c>
      <c r="G47" s="16" t="str">
        <f aca="false">IF($F47="","",IF($F47&lt;=12,"VIGENTE","VENCIDA"))</f>
        <v/>
      </c>
      <c r="H47" s="32"/>
    </row>
    <row r="48" customFormat="false" ht="15" hidden="false" customHeight="false" outlineLevel="0" collapsed="false">
      <c r="A48" s="32"/>
      <c r="B48" s="33"/>
      <c r="C48" s="32"/>
      <c r="D48" s="34"/>
      <c r="E48" s="35"/>
      <c r="F48" s="36" t="str">
        <f aca="false">IF($E48="","",($B$3-$E48)/365.25*12)</f>
        <v/>
      </c>
      <c r="G48" s="16" t="str">
        <f aca="false">IF($F48="","",IF($F48&lt;=12,"VIGENTE","VENCIDA"))</f>
        <v/>
      </c>
      <c r="H48" s="32"/>
    </row>
    <row r="49" customFormat="false" ht="15" hidden="false" customHeight="false" outlineLevel="0" collapsed="false">
      <c r="A49" s="32"/>
      <c r="B49" s="33"/>
      <c r="C49" s="32"/>
      <c r="D49" s="34"/>
      <c r="E49" s="35"/>
      <c r="F49" s="36" t="str">
        <f aca="false">IF($E49="","",($B$3-$E49)/365.25*12)</f>
        <v/>
      </c>
      <c r="G49" s="16" t="str">
        <f aca="false">IF($F49="","",IF($F49&lt;=12,"VIGENTE","VENCIDA"))</f>
        <v/>
      </c>
      <c r="H49" s="32"/>
    </row>
    <row r="50" customFormat="false" ht="15" hidden="false" customHeight="false" outlineLevel="0" collapsed="false">
      <c r="A50" s="32"/>
      <c r="B50" s="33"/>
      <c r="C50" s="32"/>
      <c r="D50" s="34"/>
      <c r="E50" s="35"/>
      <c r="F50" s="36" t="str">
        <f aca="false">IF($E50="","",($B$3-$E50)/365.25*12)</f>
        <v/>
      </c>
      <c r="G50" s="16" t="str">
        <f aca="false">IF($F50="","",IF($F50&lt;=12,"VIGENTE","VENCIDA"))</f>
        <v/>
      </c>
      <c r="H50" s="32"/>
    </row>
    <row r="51" customFormat="false" ht="15" hidden="false" customHeight="false" outlineLevel="0" collapsed="false">
      <c r="A51" s="32"/>
      <c r="B51" s="33"/>
      <c r="C51" s="32"/>
      <c r="D51" s="34"/>
      <c r="E51" s="35"/>
      <c r="F51" s="36" t="str">
        <f aca="false">IF($E51="","",($B$3-$E51)/365.25*12)</f>
        <v/>
      </c>
      <c r="G51" s="16" t="str">
        <f aca="false">IF($F51="","",IF($F51&lt;=12,"VIGENTE","VENCIDA"))</f>
        <v/>
      </c>
      <c r="H51" s="32"/>
    </row>
    <row r="52" customFormat="false" ht="15" hidden="false" customHeight="false" outlineLevel="0" collapsed="false">
      <c r="A52" s="32"/>
      <c r="B52" s="33"/>
      <c r="C52" s="32"/>
      <c r="D52" s="34"/>
      <c r="E52" s="35"/>
      <c r="F52" s="36" t="str">
        <f aca="false">IF($E52="","",($B$3-$E52)/365.25*12)</f>
        <v/>
      </c>
      <c r="G52" s="16" t="str">
        <f aca="false">IF($F52="","",IF($F52&lt;=12,"VIGENTE","VENCIDA"))</f>
        <v/>
      </c>
      <c r="H52" s="32"/>
    </row>
    <row r="53" customFormat="false" ht="15" hidden="false" customHeight="false" outlineLevel="0" collapsed="false">
      <c r="A53" s="32"/>
      <c r="B53" s="33"/>
      <c r="C53" s="32"/>
      <c r="D53" s="34"/>
      <c r="E53" s="35"/>
      <c r="F53" s="36" t="str">
        <f aca="false">IF($E53="","",($B$3-$E53)/365.25*12)</f>
        <v/>
      </c>
      <c r="G53" s="16" t="str">
        <f aca="false">IF($F53="","",IF($F53&lt;=12,"VIGENTE","VENCIDA"))</f>
        <v/>
      </c>
      <c r="H53" s="32"/>
    </row>
    <row r="54" customFormat="false" ht="15" hidden="false" customHeight="false" outlineLevel="0" collapsed="false">
      <c r="A54" s="32"/>
      <c r="B54" s="33"/>
      <c r="C54" s="32"/>
      <c r="D54" s="34"/>
      <c r="E54" s="35"/>
      <c r="F54" s="36" t="str">
        <f aca="false">IF($E54="","",($B$3-$E54)/365.25*12)</f>
        <v/>
      </c>
      <c r="G54" s="16" t="str">
        <f aca="false">IF($F54="","",IF($F54&lt;=12,"VIGENTE","VENCIDA"))</f>
        <v/>
      </c>
      <c r="H54" s="32"/>
    </row>
    <row r="55" customFormat="false" ht="15" hidden="false" customHeight="false" outlineLevel="0" collapsed="false">
      <c r="A55" s="32"/>
      <c r="B55" s="33"/>
      <c r="C55" s="32"/>
      <c r="D55" s="34"/>
      <c r="E55" s="35"/>
      <c r="F55" s="36" t="str">
        <f aca="false">IF($E55="","",($B$3-$E55)/365.25*12)</f>
        <v/>
      </c>
      <c r="G55" s="16" t="str">
        <f aca="false">IF($F55="","",IF($F55&lt;=12,"VIGENTE","VENCIDA"))</f>
        <v/>
      </c>
      <c r="H55" s="32"/>
    </row>
    <row r="56" customFormat="false" ht="15" hidden="false" customHeight="false" outlineLevel="0" collapsed="false">
      <c r="A56" s="32"/>
      <c r="B56" s="33"/>
      <c r="C56" s="32"/>
      <c r="D56" s="34"/>
      <c r="E56" s="35"/>
      <c r="F56" s="36" t="str">
        <f aca="false">IF($E56="","",($B$3-$E56)/365.25*12)</f>
        <v/>
      </c>
      <c r="G56" s="16" t="str">
        <f aca="false">IF($F56="","",IF($F56&lt;=12,"VIGENTE","VENCIDA"))</f>
        <v/>
      </c>
      <c r="H56" s="32"/>
    </row>
    <row r="57" customFormat="false" ht="15" hidden="false" customHeight="false" outlineLevel="0" collapsed="false">
      <c r="A57" s="32"/>
      <c r="B57" s="33"/>
      <c r="C57" s="32"/>
      <c r="D57" s="34"/>
      <c r="E57" s="35"/>
      <c r="F57" s="36" t="str">
        <f aca="false">IF($E57="","",($B$3-$E57)/365.25*12)</f>
        <v/>
      </c>
      <c r="G57" s="16" t="str">
        <f aca="false">IF($F57="","",IF($F57&lt;=12,"VIGENTE","VENCIDA"))</f>
        <v/>
      </c>
      <c r="H57" s="32"/>
    </row>
    <row r="58" customFormat="false" ht="15" hidden="false" customHeight="false" outlineLevel="0" collapsed="false">
      <c r="A58" s="32"/>
      <c r="B58" s="33"/>
      <c r="C58" s="32"/>
      <c r="D58" s="34"/>
      <c r="E58" s="35"/>
      <c r="F58" s="36" t="str">
        <f aca="false">IF($E58="","",($B$3-$E58)/365.25*12)</f>
        <v/>
      </c>
      <c r="G58" s="16" t="str">
        <f aca="false">IF($F58="","",IF($F58&lt;=12,"VIGENTE","VENCIDA"))</f>
        <v/>
      </c>
      <c r="H58" s="32"/>
    </row>
    <row r="59" customFormat="false" ht="15" hidden="false" customHeight="false" outlineLevel="0" collapsed="false">
      <c r="A59" s="32"/>
      <c r="B59" s="33"/>
      <c r="C59" s="32"/>
      <c r="D59" s="34"/>
      <c r="E59" s="35"/>
      <c r="F59" s="36" t="str">
        <f aca="false">IF($E59="","",($B$3-$E59)/365.25*12)</f>
        <v/>
      </c>
      <c r="G59" s="16" t="str">
        <f aca="false">IF($F59="","",IF($F59&lt;=12,"VIGENTE","VENCIDA"))</f>
        <v/>
      </c>
      <c r="H59" s="32"/>
    </row>
    <row r="60" customFormat="false" ht="15" hidden="false" customHeight="false" outlineLevel="0" collapsed="false">
      <c r="A60" s="32"/>
      <c r="B60" s="33"/>
      <c r="C60" s="32"/>
      <c r="D60" s="34"/>
      <c r="E60" s="35"/>
      <c r="F60" s="36" t="str">
        <f aca="false">IF($E60="","",($B$3-$E60)/365.25*12)</f>
        <v/>
      </c>
      <c r="G60" s="16" t="str">
        <f aca="false">IF($F60="","",IF($F60&lt;=12,"VIGENTE","VENCIDA"))</f>
        <v/>
      </c>
      <c r="H60" s="32"/>
    </row>
    <row r="61" customFormat="false" ht="15" hidden="false" customHeight="false" outlineLevel="0" collapsed="false">
      <c r="A61" s="32"/>
      <c r="B61" s="33"/>
      <c r="C61" s="32"/>
      <c r="D61" s="34"/>
      <c r="E61" s="35"/>
      <c r="F61" s="36" t="str">
        <f aca="false">IF($E61="","",($B$3-$E61)/365.25*12)</f>
        <v/>
      </c>
      <c r="G61" s="16" t="str">
        <f aca="false">IF($F61="","",IF($F61&lt;=12,"VIGENTE","VENCIDA"))</f>
        <v/>
      </c>
      <c r="H61" s="32"/>
    </row>
    <row r="62" customFormat="false" ht="15" hidden="false" customHeight="false" outlineLevel="0" collapsed="false">
      <c r="A62" s="32"/>
      <c r="B62" s="33"/>
      <c r="C62" s="32"/>
      <c r="D62" s="34"/>
      <c r="E62" s="35"/>
      <c r="F62" s="36" t="str">
        <f aca="false">IF($E62="","",($B$3-$E62)/365.25*12)</f>
        <v/>
      </c>
      <c r="G62" s="16" t="str">
        <f aca="false">IF($F62="","",IF($F62&lt;=12,"VIGENTE","VENCIDA"))</f>
        <v/>
      </c>
      <c r="H62" s="32"/>
    </row>
    <row r="63" customFormat="false" ht="15" hidden="false" customHeight="false" outlineLevel="0" collapsed="false">
      <c r="A63" s="32"/>
      <c r="B63" s="33"/>
      <c r="C63" s="32"/>
      <c r="D63" s="34"/>
      <c r="E63" s="35"/>
      <c r="F63" s="36" t="str">
        <f aca="false">IF($E63="","",($B$3-$E63)/365.25*12)</f>
        <v/>
      </c>
      <c r="G63" s="16" t="str">
        <f aca="false">IF($F63="","",IF($F63&lt;=12,"VIGENTE","VENCIDA"))</f>
        <v/>
      </c>
      <c r="H63" s="32"/>
    </row>
    <row r="64" customFormat="false" ht="15" hidden="false" customHeight="false" outlineLevel="0" collapsed="false">
      <c r="A64" s="32"/>
      <c r="B64" s="33"/>
      <c r="C64" s="32"/>
      <c r="D64" s="34"/>
      <c r="E64" s="35"/>
      <c r="F64" s="36" t="str">
        <f aca="false">IF($E64="","",($B$3-$E64)/365.25*12)</f>
        <v/>
      </c>
      <c r="G64" s="16" t="str">
        <f aca="false">IF($F64="","",IF($F64&lt;=12,"VIGENTE","VENCIDA"))</f>
        <v/>
      </c>
      <c r="H64" s="32"/>
    </row>
    <row r="65" customFormat="false" ht="15" hidden="false" customHeight="false" outlineLevel="0" collapsed="false">
      <c r="A65" s="32"/>
      <c r="B65" s="33"/>
      <c r="C65" s="32"/>
      <c r="D65" s="34"/>
      <c r="E65" s="35"/>
      <c r="F65" s="36" t="str">
        <f aca="false">IF($E65="","",($B$3-$E65)/365.25*12)</f>
        <v/>
      </c>
      <c r="G65" s="16" t="str">
        <f aca="false">IF($F65="","",IF($F65&lt;=12,"VIGENTE","VENCIDA"))</f>
        <v/>
      </c>
      <c r="H65" s="32"/>
    </row>
    <row r="66" customFormat="false" ht="15" hidden="false" customHeight="false" outlineLevel="0" collapsed="false">
      <c r="A66" s="32"/>
      <c r="B66" s="33"/>
      <c r="C66" s="32"/>
      <c r="D66" s="34"/>
      <c r="E66" s="35"/>
      <c r="F66" s="36" t="str">
        <f aca="false">IF($E66="","",($B$3-$E66)/365.25*12)</f>
        <v/>
      </c>
      <c r="G66" s="16" t="str">
        <f aca="false">IF($F66="","",IF($F66&lt;=12,"VIGENTE","VENCIDA"))</f>
        <v/>
      </c>
      <c r="H66" s="32"/>
    </row>
    <row r="67" customFormat="false" ht="15" hidden="false" customHeight="false" outlineLevel="0" collapsed="false">
      <c r="A67" s="32"/>
      <c r="B67" s="33"/>
      <c r="C67" s="32"/>
      <c r="D67" s="34"/>
      <c r="E67" s="35"/>
      <c r="F67" s="36" t="str">
        <f aca="false">IF($E67="","",($B$3-$E67)/365.25*12)</f>
        <v/>
      </c>
      <c r="G67" s="16" t="str">
        <f aca="false">IF($F67="","",IF($F67&lt;=12,"VIGENTE","VENCIDA"))</f>
        <v/>
      </c>
      <c r="H67" s="32"/>
    </row>
    <row r="68" customFormat="false" ht="15" hidden="false" customHeight="false" outlineLevel="0" collapsed="false">
      <c r="A68" s="32"/>
      <c r="B68" s="33"/>
      <c r="C68" s="32"/>
      <c r="D68" s="34"/>
      <c r="E68" s="35"/>
      <c r="F68" s="36" t="str">
        <f aca="false">IF($E68="","",($B$3-$E68)/365.25*12)</f>
        <v/>
      </c>
      <c r="G68" s="16" t="str">
        <f aca="false">IF($F68="","",IF($F68&lt;=12,"VIGENTE","VENCIDA"))</f>
        <v/>
      </c>
      <c r="H68" s="32"/>
    </row>
    <row r="69" customFormat="false" ht="15" hidden="false" customHeight="false" outlineLevel="0" collapsed="false">
      <c r="A69" s="32"/>
      <c r="B69" s="33"/>
      <c r="C69" s="32"/>
      <c r="D69" s="34"/>
      <c r="E69" s="35"/>
      <c r="F69" s="36" t="str">
        <f aca="false">IF($E69="","",($B$3-$E69)/365.25*12)</f>
        <v/>
      </c>
      <c r="G69" s="16" t="str">
        <f aca="false">IF($F69="","",IF($F69&lt;=12,"VIGENTE","VENCIDA"))</f>
        <v/>
      </c>
      <c r="H69" s="32"/>
    </row>
    <row r="70" customFormat="false" ht="15" hidden="false" customHeight="false" outlineLevel="0" collapsed="false">
      <c r="A70" s="32"/>
      <c r="B70" s="33"/>
      <c r="C70" s="32"/>
      <c r="D70" s="34"/>
      <c r="E70" s="35"/>
      <c r="F70" s="36" t="str">
        <f aca="false">IF($E70="","",($B$3-$E70)/365.25*12)</f>
        <v/>
      </c>
      <c r="G70" s="16" t="str">
        <f aca="false">IF($F70="","",IF($F70&lt;=12,"VIGENTE","VENCIDA"))</f>
        <v/>
      </c>
      <c r="H70" s="32"/>
    </row>
    <row r="71" customFormat="false" ht="15" hidden="false" customHeight="false" outlineLevel="0" collapsed="false">
      <c r="A71" s="32"/>
      <c r="B71" s="33"/>
      <c r="C71" s="32"/>
      <c r="D71" s="34"/>
      <c r="E71" s="35"/>
      <c r="F71" s="36" t="str">
        <f aca="false">IF($E71="","",($B$3-$E71)/365.25*12)</f>
        <v/>
      </c>
      <c r="G71" s="16" t="str">
        <f aca="false">IF($F71="","",IF($F71&lt;=12,"VIGENTE","VENCIDA"))</f>
        <v/>
      </c>
      <c r="H71" s="32"/>
    </row>
    <row r="72" customFormat="false" ht="15" hidden="false" customHeight="false" outlineLevel="0" collapsed="false">
      <c r="A72" s="32"/>
      <c r="B72" s="33"/>
      <c r="C72" s="32"/>
      <c r="D72" s="34"/>
      <c r="E72" s="35"/>
      <c r="F72" s="36" t="str">
        <f aca="false">IF($E72="","",($B$3-$E72)/365.25*12)</f>
        <v/>
      </c>
      <c r="G72" s="16" t="str">
        <f aca="false">IF($F72="","",IF($F72&lt;=12,"VIGENTE","VENCIDA"))</f>
        <v/>
      </c>
      <c r="H72" s="32"/>
    </row>
    <row r="73" customFormat="false" ht="15" hidden="false" customHeight="false" outlineLevel="0" collapsed="false">
      <c r="A73" s="32"/>
      <c r="B73" s="33"/>
      <c r="C73" s="32"/>
      <c r="D73" s="34"/>
      <c r="E73" s="35"/>
      <c r="F73" s="36" t="str">
        <f aca="false">IF($E73="","",($B$3-$E73)/365.25*12)</f>
        <v/>
      </c>
      <c r="G73" s="16" t="str">
        <f aca="false">IF($F73="","",IF($F73&lt;=12,"VIGENTE","VENCIDA"))</f>
        <v/>
      </c>
      <c r="H73" s="32"/>
    </row>
    <row r="74" customFormat="false" ht="15" hidden="false" customHeight="false" outlineLevel="0" collapsed="false">
      <c r="A74" s="32"/>
      <c r="B74" s="33"/>
      <c r="C74" s="32"/>
      <c r="D74" s="34"/>
      <c r="E74" s="35"/>
      <c r="F74" s="36" t="str">
        <f aca="false">IF($E74="","",($B$3-$E74)/365.25*12)</f>
        <v/>
      </c>
      <c r="G74" s="16" t="str">
        <f aca="false">IF($F74="","",IF($F74&lt;=12,"VIGENTE","VENCIDA"))</f>
        <v/>
      </c>
      <c r="H74" s="32"/>
    </row>
    <row r="75" customFormat="false" ht="15" hidden="false" customHeight="false" outlineLevel="0" collapsed="false">
      <c r="A75" s="32"/>
      <c r="B75" s="33"/>
      <c r="C75" s="32"/>
      <c r="D75" s="34"/>
      <c r="E75" s="35"/>
      <c r="F75" s="36" t="str">
        <f aca="false">IF($E75="","",($B$3-$E75)/365.25*12)</f>
        <v/>
      </c>
      <c r="G75" s="16" t="str">
        <f aca="false">IF($F75="","",IF($F75&lt;=12,"VIGENTE","VENCIDA"))</f>
        <v/>
      </c>
      <c r="H75" s="32"/>
    </row>
    <row r="76" customFormat="false" ht="15" hidden="false" customHeight="false" outlineLevel="0" collapsed="false">
      <c r="A76" s="32"/>
      <c r="B76" s="33"/>
      <c r="C76" s="32"/>
      <c r="D76" s="34"/>
      <c r="E76" s="35"/>
      <c r="F76" s="36" t="str">
        <f aca="false">IF($E76="","",($B$3-$E76)/365.25*12)</f>
        <v/>
      </c>
      <c r="G76" s="16" t="str">
        <f aca="false">IF($F76="","",IF($F76&lt;=12,"VIGENTE","VENCIDA"))</f>
        <v/>
      </c>
      <c r="H76" s="32"/>
    </row>
    <row r="77" customFormat="false" ht="15" hidden="false" customHeight="false" outlineLevel="0" collapsed="false">
      <c r="A77" s="32"/>
      <c r="B77" s="33"/>
      <c r="C77" s="32"/>
      <c r="D77" s="34"/>
      <c r="E77" s="35"/>
      <c r="F77" s="36" t="str">
        <f aca="false">IF($E77="","",($B$3-$E77)/365.25*12)</f>
        <v/>
      </c>
      <c r="G77" s="16" t="str">
        <f aca="false">IF($F77="","",IF($F77&lt;=12,"VIGENTE","VENCIDA"))</f>
        <v/>
      </c>
      <c r="H77" s="32"/>
    </row>
    <row r="78" customFormat="false" ht="15" hidden="false" customHeight="false" outlineLevel="0" collapsed="false">
      <c r="A78" s="32"/>
      <c r="B78" s="33"/>
      <c r="C78" s="32"/>
      <c r="D78" s="34"/>
      <c r="E78" s="35"/>
      <c r="F78" s="36" t="str">
        <f aca="false">IF($E78="","",($B$3-$E78)/365.25*12)</f>
        <v/>
      </c>
      <c r="G78" s="16" t="str">
        <f aca="false">IF($F78="","",IF($F78&lt;=12,"VIGENTE","VENCIDA"))</f>
        <v/>
      </c>
      <c r="H78" s="32"/>
    </row>
    <row r="79" customFormat="false" ht="15" hidden="false" customHeight="false" outlineLevel="0" collapsed="false">
      <c r="A79" s="32"/>
      <c r="B79" s="33"/>
      <c r="C79" s="32"/>
      <c r="D79" s="34"/>
      <c r="E79" s="35"/>
      <c r="F79" s="36" t="str">
        <f aca="false">IF($E79="","",($B$3-$E79)/365.25*12)</f>
        <v/>
      </c>
      <c r="G79" s="16" t="str">
        <f aca="false">IF($F79="","",IF($F79&lt;=12,"VIGENTE","VENCIDA"))</f>
        <v/>
      </c>
      <c r="H79" s="32"/>
    </row>
    <row r="80" customFormat="false" ht="15" hidden="false" customHeight="false" outlineLevel="0" collapsed="false">
      <c r="A80" s="32"/>
      <c r="B80" s="33"/>
      <c r="C80" s="32"/>
      <c r="D80" s="34"/>
      <c r="E80" s="35"/>
      <c r="F80" s="36" t="str">
        <f aca="false">IF($E80="","",($B$3-$E80)/365.25*12)</f>
        <v/>
      </c>
      <c r="G80" s="16" t="str">
        <f aca="false">IF($F80="","",IF($F80&lt;=12,"VIGENTE","VENCIDA"))</f>
        <v/>
      </c>
      <c r="H80" s="32"/>
    </row>
    <row r="81" customFormat="false" ht="15" hidden="false" customHeight="false" outlineLevel="0" collapsed="false">
      <c r="A81" s="32"/>
      <c r="B81" s="33"/>
      <c r="C81" s="32"/>
      <c r="D81" s="34"/>
      <c r="E81" s="35"/>
      <c r="F81" s="36" t="str">
        <f aca="false">IF($E81="","",($B$3-$E81)/365.25*12)</f>
        <v/>
      </c>
      <c r="G81" s="16" t="str">
        <f aca="false">IF($F81="","",IF($F81&lt;=12,"VIGENTE","VENCIDA"))</f>
        <v/>
      </c>
      <c r="H81" s="32"/>
    </row>
    <row r="82" customFormat="false" ht="15" hidden="false" customHeight="false" outlineLevel="0" collapsed="false">
      <c r="A82" s="32"/>
      <c r="B82" s="33"/>
      <c r="C82" s="32"/>
      <c r="D82" s="34"/>
      <c r="E82" s="35"/>
      <c r="F82" s="36" t="str">
        <f aca="false">IF($E82="","",($B$3-$E82)/365.25*12)</f>
        <v/>
      </c>
      <c r="G82" s="16" t="str">
        <f aca="false">IF($F82="","",IF($F82&lt;=12,"VIGENTE","VENCIDA"))</f>
        <v/>
      </c>
      <c r="H82" s="32"/>
    </row>
    <row r="83" customFormat="false" ht="15" hidden="false" customHeight="false" outlineLevel="0" collapsed="false">
      <c r="A83" s="32"/>
      <c r="B83" s="33"/>
      <c r="C83" s="32"/>
      <c r="D83" s="34"/>
      <c r="E83" s="35"/>
      <c r="F83" s="36" t="str">
        <f aca="false">IF($E83="","",($B$3-$E83)/365.25*12)</f>
        <v/>
      </c>
      <c r="G83" s="16" t="str">
        <f aca="false">IF($F83="","",IF($F83&lt;=12,"VIGENTE","VENCIDA"))</f>
        <v/>
      </c>
      <c r="H83" s="32"/>
    </row>
    <row r="84" customFormat="false" ht="15" hidden="false" customHeight="false" outlineLevel="0" collapsed="false">
      <c r="A84" s="32"/>
      <c r="B84" s="33"/>
      <c r="C84" s="32"/>
      <c r="D84" s="34"/>
      <c r="E84" s="35"/>
      <c r="F84" s="36" t="str">
        <f aca="false">IF($E84="","",($B$3-$E84)/365.25*12)</f>
        <v/>
      </c>
      <c r="G84" s="16" t="str">
        <f aca="false">IF($F84="","",IF($F84&lt;=12,"VIGENTE","VENCIDA"))</f>
        <v/>
      </c>
      <c r="H84" s="32"/>
    </row>
    <row r="85" customFormat="false" ht="15" hidden="false" customHeight="false" outlineLevel="0" collapsed="false">
      <c r="A85" s="32"/>
      <c r="B85" s="33"/>
      <c r="C85" s="32"/>
      <c r="D85" s="34"/>
      <c r="E85" s="35"/>
      <c r="F85" s="36" t="str">
        <f aca="false">IF($E85="","",($B$3-$E85)/365.25*12)</f>
        <v/>
      </c>
      <c r="G85" s="16" t="str">
        <f aca="false">IF($F85="","",IF($F85&lt;=12,"VIGENTE","VENCIDA"))</f>
        <v/>
      </c>
      <c r="H85" s="32"/>
    </row>
    <row r="86" customFormat="false" ht="15" hidden="false" customHeight="false" outlineLevel="0" collapsed="false">
      <c r="A86" s="32"/>
      <c r="B86" s="33"/>
      <c r="C86" s="32"/>
      <c r="D86" s="34"/>
      <c r="E86" s="35"/>
      <c r="F86" s="36" t="str">
        <f aca="false">IF($E86="","",($B$3-$E86)/365.25*12)</f>
        <v/>
      </c>
      <c r="G86" s="16" t="str">
        <f aca="false">IF($F86="","",IF($F86&lt;=12,"VIGENTE","VENCIDA"))</f>
        <v/>
      </c>
      <c r="H86" s="32"/>
    </row>
    <row r="87" customFormat="false" ht="15" hidden="false" customHeight="false" outlineLevel="0" collapsed="false">
      <c r="A87" s="32"/>
      <c r="B87" s="33"/>
      <c r="C87" s="32"/>
      <c r="D87" s="34"/>
      <c r="E87" s="35"/>
      <c r="F87" s="36" t="str">
        <f aca="false">IF($E87="","",($B$3-$E87)/365.25*12)</f>
        <v/>
      </c>
      <c r="G87" s="16" t="str">
        <f aca="false">IF($F87="","",IF($F87&lt;=12,"VIGENTE","VENCIDA"))</f>
        <v/>
      </c>
      <c r="H87" s="32"/>
    </row>
    <row r="88" customFormat="false" ht="15" hidden="false" customHeight="false" outlineLevel="0" collapsed="false">
      <c r="A88" s="32"/>
      <c r="B88" s="33"/>
      <c r="C88" s="32"/>
      <c r="D88" s="34"/>
      <c r="E88" s="35"/>
      <c r="F88" s="36" t="str">
        <f aca="false">IF($E88="","",($B$3-$E88)/365.25*12)</f>
        <v/>
      </c>
      <c r="G88" s="16" t="str">
        <f aca="false">IF($F88="","",IF($F88&lt;=12,"VIGENTE","VENCIDA"))</f>
        <v/>
      </c>
      <c r="H88" s="32"/>
    </row>
    <row r="89" customFormat="false" ht="15" hidden="false" customHeight="false" outlineLevel="0" collapsed="false">
      <c r="A89" s="32"/>
      <c r="B89" s="33"/>
      <c r="C89" s="32"/>
      <c r="D89" s="34"/>
      <c r="E89" s="35"/>
      <c r="F89" s="36" t="str">
        <f aca="false">IF($E89="","",($B$3-$E89)/365.25*12)</f>
        <v/>
      </c>
      <c r="G89" s="16" t="str">
        <f aca="false">IF($F89="","",IF($F89&lt;=12,"VIGENTE","VENCIDA"))</f>
        <v/>
      </c>
      <c r="H89" s="32"/>
    </row>
    <row r="90" customFormat="false" ht="15" hidden="false" customHeight="false" outlineLevel="0" collapsed="false">
      <c r="A90" s="32"/>
      <c r="B90" s="33"/>
      <c r="C90" s="32"/>
      <c r="D90" s="34"/>
      <c r="E90" s="35"/>
      <c r="F90" s="36" t="str">
        <f aca="false">IF($E90="","",($B$3-$E90)/365.25*12)</f>
        <v/>
      </c>
      <c r="G90" s="16" t="str">
        <f aca="false">IF($F90="","",IF($F90&lt;=12,"VIGENTE","VENCIDA"))</f>
        <v/>
      </c>
      <c r="H90" s="32"/>
    </row>
    <row r="91" customFormat="false" ht="15" hidden="false" customHeight="false" outlineLevel="0" collapsed="false">
      <c r="A91" s="32"/>
      <c r="B91" s="33"/>
      <c r="C91" s="32"/>
      <c r="D91" s="34"/>
      <c r="E91" s="35"/>
      <c r="F91" s="36" t="str">
        <f aca="false">IF($E91="","",($B$3-$E91)/365.25*12)</f>
        <v/>
      </c>
      <c r="G91" s="16" t="str">
        <f aca="false">IF($F91="","",IF($F91&lt;=12,"VIGENTE","VENCIDA"))</f>
        <v/>
      </c>
      <c r="H91" s="32"/>
    </row>
    <row r="92" customFormat="false" ht="15" hidden="false" customHeight="false" outlineLevel="0" collapsed="false">
      <c r="A92" s="32"/>
      <c r="B92" s="33"/>
      <c r="C92" s="32"/>
      <c r="D92" s="34"/>
      <c r="E92" s="35"/>
      <c r="F92" s="36" t="str">
        <f aca="false">IF($E92="","",($B$3-$E92)/365.25*12)</f>
        <v/>
      </c>
      <c r="G92" s="16" t="str">
        <f aca="false">IF($F92="","",IF($F92&lt;=12,"VIGENTE","VENCIDA"))</f>
        <v/>
      </c>
      <c r="H92" s="32"/>
    </row>
    <row r="93" customFormat="false" ht="15" hidden="false" customHeight="false" outlineLevel="0" collapsed="false">
      <c r="A93" s="32"/>
      <c r="B93" s="33"/>
      <c r="C93" s="32"/>
      <c r="D93" s="34"/>
      <c r="E93" s="35"/>
      <c r="F93" s="36" t="str">
        <f aca="false">IF($E93="","",($B$3-$E93)/365.25*12)</f>
        <v/>
      </c>
      <c r="G93" s="16" t="str">
        <f aca="false">IF($F93="","",IF($F93&lt;=12,"VIGENTE","VENCIDA"))</f>
        <v/>
      </c>
      <c r="H93" s="32"/>
    </row>
    <row r="94" customFormat="false" ht="15" hidden="false" customHeight="false" outlineLevel="0" collapsed="false">
      <c r="A94" s="32"/>
      <c r="B94" s="33"/>
      <c r="C94" s="32"/>
      <c r="D94" s="34"/>
      <c r="E94" s="35"/>
      <c r="F94" s="36" t="str">
        <f aca="false">IF($E94="","",($B$3-$E94)/365.25*12)</f>
        <v/>
      </c>
      <c r="G94" s="16" t="str">
        <f aca="false">IF($F94="","",IF($F94&lt;=12,"VIGENTE","VENCIDA"))</f>
        <v/>
      </c>
      <c r="H94" s="32"/>
    </row>
    <row r="95" customFormat="false" ht="15" hidden="false" customHeight="false" outlineLevel="0" collapsed="false">
      <c r="A95" s="32"/>
      <c r="B95" s="33"/>
      <c r="C95" s="32"/>
      <c r="D95" s="34"/>
      <c r="E95" s="35"/>
      <c r="F95" s="36" t="str">
        <f aca="false">IF($E95="","",($B$3-$E95)/365.25*12)</f>
        <v/>
      </c>
      <c r="G95" s="16" t="str">
        <f aca="false">IF($F95="","",IF($F95&lt;=12,"VIGENTE","VENCIDA"))</f>
        <v/>
      </c>
      <c r="H95" s="32"/>
    </row>
    <row r="96" customFormat="false" ht="15" hidden="false" customHeight="false" outlineLevel="0" collapsed="false">
      <c r="A96" s="32"/>
      <c r="B96" s="33"/>
      <c r="C96" s="32"/>
      <c r="D96" s="34"/>
      <c r="E96" s="35"/>
      <c r="F96" s="36" t="str">
        <f aca="false">IF($E96="","",($B$3-$E96)/365.25*12)</f>
        <v/>
      </c>
      <c r="G96" s="16" t="str">
        <f aca="false">IF($F96="","",IF($F96&lt;=12,"VIGENTE","VENCIDA"))</f>
        <v/>
      </c>
      <c r="H96" s="32"/>
    </row>
    <row r="97" customFormat="false" ht="15" hidden="false" customHeight="false" outlineLevel="0" collapsed="false">
      <c r="A97" s="32"/>
      <c r="B97" s="33"/>
      <c r="C97" s="32"/>
      <c r="D97" s="34"/>
      <c r="E97" s="35"/>
      <c r="F97" s="36" t="str">
        <f aca="false">IF($E97="","",($B$3-$E97)/365.25*12)</f>
        <v/>
      </c>
      <c r="G97" s="16" t="str">
        <f aca="false">IF($F97="","",IF($F97&lt;=12,"VIGENTE","VENCIDA"))</f>
        <v/>
      </c>
      <c r="H97" s="32"/>
    </row>
    <row r="98" customFormat="false" ht="15" hidden="false" customHeight="false" outlineLevel="0" collapsed="false">
      <c r="A98" s="32"/>
      <c r="B98" s="33"/>
      <c r="C98" s="32"/>
      <c r="D98" s="34"/>
      <c r="E98" s="35"/>
      <c r="F98" s="36" t="str">
        <f aca="false">IF($E98="","",($B$3-$E98)/365.25*12)</f>
        <v/>
      </c>
      <c r="G98" s="16" t="str">
        <f aca="false">IF($F98="","",IF($F98&lt;=12,"VIGENTE","VENCIDA"))</f>
        <v/>
      </c>
      <c r="H98" s="32"/>
    </row>
    <row r="99" customFormat="false" ht="15" hidden="false" customHeight="false" outlineLevel="0" collapsed="false">
      <c r="A99" s="32"/>
      <c r="B99" s="33"/>
      <c r="C99" s="32"/>
      <c r="D99" s="34"/>
      <c r="E99" s="35"/>
      <c r="F99" s="36" t="str">
        <f aca="false">IF($E99="","",($B$3-$E99)/365.25*12)</f>
        <v/>
      </c>
      <c r="G99" s="16" t="str">
        <f aca="false">IF($F99="","",IF($F99&lt;=12,"VIGENTE","VENCIDA"))</f>
        <v/>
      </c>
      <c r="H99" s="32"/>
    </row>
    <row r="100" customFormat="false" ht="15" hidden="false" customHeight="false" outlineLevel="0" collapsed="false">
      <c r="A100" s="32"/>
      <c r="B100" s="33"/>
      <c r="C100" s="32"/>
      <c r="D100" s="34"/>
      <c r="E100" s="35"/>
      <c r="F100" s="36" t="str">
        <f aca="false">IF($E100="","",($B$3-$E100)/365.25*12)</f>
        <v/>
      </c>
      <c r="G100" s="16" t="str">
        <f aca="false">IF($F100="","",IF($F100&lt;=12,"VIGENTE","VENCIDA"))</f>
        <v/>
      </c>
      <c r="H100" s="32"/>
    </row>
    <row r="101" customFormat="false" ht="15" hidden="false" customHeight="false" outlineLevel="0" collapsed="false">
      <c r="A101" s="32"/>
      <c r="B101" s="33"/>
      <c r="C101" s="32"/>
      <c r="D101" s="34"/>
      <c r="E101" s="35"/>
      <c r="F101" s="36" t="str">
        <f aca="false">IF($E101="","",($B$3-$E101)/365.25*12)</f>
        <v/>
      </c>
      <c r="G101" s="16" t="str">
        <f aca="false">IF($F101="","",IF($F101&lt;=12,"VIGENTE","VENCIDA"))</f>
        <v/>
      </c>
      <c r="H101" s="32"/>
    </row>
    <row r="102" customFormat="false" ht="15" hidden="false" customHeight="false" outlineLevel="0" collapsed="false">
      <c r="A102" s="32"/>
      <c r="B102" s="33"/>
      <c r="C102" s="32"/>
      <c r="D102" s="34"/>
      <c r="E102" s="35"/>
      <c r="F102" s="36" t="str">
        <f aca="false">IF($E102="","",($B$3-$E102)/365.25*12)</f>
        <v/>
      </c>
      <c r="G102" s="16" t="str">
        <f aca="false">IF($F102="","",IF($F102&lt;=12,"VIGENTE","VENCIDA"))</f>
        <v/>
      </c>
      <c r="H102" s="32"/>
    </row>
    <row r="103" customFormat="false" ht="15" hidden="false" customHeight="false" outlineLevel="0" collapsed="false">
      <c r="A103" s="32"/>
      <c r="B103" s="33"/>
      <c r="C103" s="32"/>
      <c r="D103" s="34"/>
      <c r="E103" s="35"/>
      <c r="F103" s="36" t="str">
        <f aca="false">IF($E103="","",($B$3-$E103)/365.25*12)</f>
        <v/>
      </c>
      <c r="G103" s="16" t="str">
        <f aca="false">IF($F103="","",IF($F103&lt;=12,"VIGENTE","VENCIDA"))</f>
        <v/>
      </c>
      <c r="H103" s="32"/>
    </row>
    <row r="104" customFormat="false" ht="15" hidden="false" customHeight="false" outlineLevel="0" collapsed="false">
      <c r="A104" s="32"/>
      <c r="B104" s="33"/>
      <c r="C104" s="32"/>
      <c r="D104" s="34"/>
      <c r="E104" s="35"/>
      <c r="F104" s="36" t="str">
        <f aca="false">IF($E104="","",($B$3-$E104)/365.25*12)</f>
        <v/>
      </c>
      <c r="G104" s="16" t="str">
        <f aca="false">IF($F104="","",IF($F104&lt;=12,"VIGENTE","VENCIDA"))</f>
        <v/>
      </c>
      <c r="H104" s="32"/>
    </row>
    <row r="105" customFormat="false" ht="15" hidden="false" customHeight="false" outlineLevel="0" collapsed="false">
      <c r="A105" s="32"/>
      <c r="B105" s="33"/>
      <c r="C105" s="32"/>
      <c r="D105" s="34"/>
      <c r="E105" s="35"/>
      <c r="F105" s="36" t="str">
        <f aca="false">IF($E105="","",($B$3-$E105)/365.25*12)</f>
        <v/>
      </c>
      <c r="G105" s="16" t="str">
        <f aca="false">IF($F105="","",IF($F105&lt;=12,"VIGENTE","VENCIDA"))</f>
        <v/>
      </c>
      <c r="H105" s="32"/>
    </row>
    <row r="106" customFormat="false" ht="15" hidden="false" customHeight="false" outlineLevel="0" collapsed="false">
      <c r="A106" s="32"/>
      <c r="B106" s="33"/>
      <c r="C106" s="32"/>
      <c r="D106" s="34"/>
      <c r="E106" s="35"/>
      <c r="F106" s="36" t="str">
        <f aca="false">IF($E106="","",($B$3-$E106)/365.25*12)</f>
        <v/>
      </c>
      <c r="G106" s="16" t="str">
        <f aca="false">IF($F106="","",IF($F106&lt;=12,"VIGENTE","VENCIDA"))</f>
        <v/>
      </c>
      <c r="H106" s="32"/>
    </row>
    <row r="107" customFormat="false" ht="15" hidden="false" customHeight="false" outlineLevel="0" collapsed="false">
      <c r="A107" s="32"/>
      <c r="B107" s="33"/>
      <c r="C107" s="32"/>
      <c r="D107" s="34"/>
      <c r="E107" s="35"/>
      <c r="F107" s="36" t="str">
        <f aca="false">IF($E107="","",($B$3-$E107)/365.25*12)</f>
        <v/>
      </c>
      <c r="G107" s="16" t="str">
        <f aca="false">IF($F107="","",IF($F107&lt;=12,"VIGENTE","VENCIDA"))</f>
        <v/>
      </c>
      <c r="H107" s="32"/>
    </row>
    <row r="108" customFormat="false" ht="15" hidden="false" customHeight="false" outlineLevel="0" collapsed="false">
      <c r="A108" s="32"/>
      <c r="B108" s="33"/>
      <c r="C108" s="32"/>
      <c r="D108" s="34"/>
      <c r="E108" s="35"/>
      <c r="F108" s="36" t="str">
        <f aca="false">IF($E108="","",($B$3-$E108)/365.25*12)</f>
        <v/>
      </c>
      <c r="G108" s="16" t="str">
        <f aca="false">IF($F108="","",IF($F108&lt;=12,"VIGENTE","VENCIDA"))</f>
        <v/>
      </c>
      <c r="H108" s="32"/>
    </row>
    <row r="109" customFormat="false" ht="15" hidden="false" customHeight="false" outlineLevel="0" collapsed="false">
      <c r="A109" s="32"/>
      <c r="B109" s="33"/>
      <c r="C109" s="32"/>
      <c r="D109" s="34"/>
      <c r="E109" s="35"/>
      <c r="F109" s="36" t="str">
        <f aca="false">IF($E109="","",($B$3-$E109)/365.25*12)</f>
        <v/>
      </c>
      <c r="G109" s="16" t="str">
        <f aca="false">IF($F109="","",IF($F109&lt;=12,"VIGENTE","VENCIDA"))</f>
        <v/>
      </c>
      <c r="H109" s="32"/>
    </row>
    <row r="110" customFormat="false" ht="15" hidden="false" customHeight="false" outlineLevel="0" collapsed="false">
      <c r="A110" s="32"/>
      <c r="B110" s="33"/>
      <c r="C110" s="32"/>
      <c r="D110" s="34"/>
      <c r="E110" s="35"/>
      <c r="F110" s="36" t="str">
        <f aca="false">IF($E110="","",($B$3-$E110)/365.25*12)</f>
        <v/>
      </c>
      <c r="G110" s="16" t="str">
        <f aca="false">IF($F110="","",IF($F110&lt;=12,"VIGENTE","VENCIDA"))</f>
        <v/>
      </c>
      <c r="H110" s="32"/>
    </row>
    <row r="111" customFormat="false" ht="15" hidden="false" customHeight="false" outlineLevel="0" collapsed="false">
      <c r="A111" s="32"/>
      <c r="B111" s="33"/>
      <c r="C111" s="32"/>
      <c r="D111" s="34"/>
      <c r="E111" s="35"/>
      <c r="F111" s="36" t="str">
        <f aca="false">IF($E111="","",($B$3-$E111)/365.25*12)</f>
        <v/>
      </c>
      <c r="G111" s="16" t="str">
        <f aca="false">IF($F111="","",IF($F111&lt;=12,"VIGENTE","VENCIDA"))</f>
        <v/>
      </c>
      <c r="H111" s="32"/>
    </row>
    <row r="112" customFormat="false" ht="15" hidden="false" customHeight="false" outlineLevel="0" collapsed="false">
      <c r="A112" s="32"/>
      <c r="B112" s="33"/>
      <c r="C112" s="32"/>
      <c r="D112" s="34"/>
      <c r="E112" s="35"/>
      <c r="F112" s="36" t="str">
        <f aca="false">IF($E112="","",($B$3-$E112)/365.25*12)</f>
        <v/>
      </c>
      <c r="G112" s="16" t="str">
        <f aca="false">IF($F112="","",IF($F112&lt;=12,"VIGENTE","VENCIDA"))</f>
        <v/>
      </c>
      <c r="H112" s="32"/>
    </row>
    <row r="113" customFormat="false" ht="15" hidden="false" customHeight="false" outlineLevel="0" collapsed="false">
      <c r="A113" s="32"/>
      <c r="B113" s="33"/>
      <c r="C113" s="32"/>
      <c r="D113" s="34"/>
      <c r="E113" s="35"/>
      <c r="F113" s="36" t="str">
        <f aca="false">IF($E113="","",($B$3-$E113)/365.25*12)</f>
        <v/>
      </c>
      <c r="G113" s="16" t="str">
        <f aca="false">IF($F113="","",IF($F113&lt;=12,"VIGENTE","VENCIDA"))</f>
        <v/>
      </c>
      <c r="H113" s="32"/>
    </row>
    <row r="114" customFormat="false" ht="15" hidden="false" customHeight="false" outlineLevel="0" collapsed="false">
      <c r="A114" s="32"/>
      <c r="B114" s="33"/>
      <c r="C114" s="32"/>
      <c r="D114" s="34"/>
      <c r="E114" s="35"/>
      <c r="F114" s="36" t="str">
        <f aca="false">IF($E114="","",($B$3-$E114)/365.25*12)</f>
        <v/>
      </c>
      <c r="G114" s="16" t="str">
        <f aca="false">IF($F114="","",IF($F114&lt;=12,"VIGENTE","VENCIDA"))</f>
        <v/>
      </c>
      <c r="H114" s="32"/>
    </row>
    <row r="115" customFormat="false" ht="15" hidden="false" customHeight="false" outlineLevel="0" collapsed="false">
      <c r="A115" s="32"/>
      <c r="B115" s="33"/>
      <c r="C115" s="32"/>
      <c r="D115" s="34"/>
      <c r="E115" s="35"/>
      <c r="F115" s="36" t="str">
        <f aca="false">IF($E115="","",($B$3-$E115)/365.25*12)</f>
        <v/>
      </c>
      <c r="G115" s="16" t="str">
        <f aca="false">IF($F115="","",IF($F115&lt;=12,"VIGENTE","VENCIDA"))</f>
        <v/>
      </c>
      <c r="H115" s="32"/>
    </row>
    <row r="116" customFormat="false" ht="15" hidden="false" customHeight="false" outlineLevel="0" collapsed="false">
      <c r="A116" s="32"/>
      <c r="B116" s="33"/>
      <c r="C116" s="32"/>
      <c r="D116" s="34"/>
      <c r="E116" s="35"/>
      <c r="F116" s="36" t="str">
        <f aca="false">IF($E116="","",($B$3-$E116)/365.25*12)</f>
        <v/>
      </c>
      <c r="G116" s="16" t="str">
        <f aca="false">IF($F116="","",IF($F116&lt;=12,"VIGENTE","VENCIDA"))</f>
        <v/>
      </c>
      <c r="H116" s="32"/>
    </row>
    <row r="117" customFormat="false" ht="15" hidden="false" customHeight="false" outlineLevel="0" collapsed="false">
      <c r="A117" s="32"/>
      <c r="B117" s="33"/>
      <c r="C117" s="32"/>
      <c r="D117" s="34"/>
      <c r="E117" s="35"/>
      <c r="F117" s="36" t="str">
        <f aca="false">IF($E117="","",($B$3-$E117)/365.25*12)</f>
        <v/>
      </c>
      <c r="G117" s="16" t="str">
        <f aca="false">IF($F117="","",IF($F117&lt;=12,"VIGENTE","VENCIDA"))</f>
        <v/>
      </c>
      <c r="H117" s="32"/>
    </row>
    <row r="118" customFormat="false" ht="15" hidden="false" customHeight="false" outlineLevel="0" collapsed="false">
      <c r="A118" s="32"/>
      <c r="B118" s="33"/>
      <c r="C118" s="32"/>
      <c r="D118" s="34"/>
      <c r="E118" s="35"/>
      <c r="F118" s="36" t="str">
        <f aca="false">IF($E118="","",($B$3-$E118)/365.25*12)</f>
        <v/>
      </c>
      <c r="G118" s="16" t="str">
        <f aca="false">IF($F118="","",IF($F118&lt;=12,"VIGENTE","VENCIDA"))</f>
        <v/>
      </c>
      <c r="H118" s="32"/>
    </row>
    <row r="119" customFormat="false" ht="15" hidden="false" customHeight="false" outlineLevel="0" collapsed="false">
      <c r="A119" s="32"/>
      <c r="B119" s="33"/>
      <c r="C119" s="32"/>
      <c r="D119" s="34"/>
      <c r="E119" s="35"/>
      <c r="F119" s="36" t="str">
        <f aca="false">IF($E119="","",($B$3-$E119)/365.25*12)</f>
        <v/>
      </c>
      <c r="G119" s="16" t="str">
        <f aca="false">IF($F119="","",IF($F119&lt;=12,"VIGENTE","VENCIDA"))</f>
        <v/>
      </c>
      <c r="H119" s="32"/>
    </row>
    <row r="120" customFormat="false" ht="15" hidden="false" customHeight="false" outlineLevel="0" collapsed="false">
      <c r="A120" s="32"/>
      <c r="B120" s="33"/>
      <c r="C120" s="32"/>
      <c r="D120" s="34"/>
      <c r="E120" s="35"/>
      <c r="F120" s="36" t="str">
        <f aca="false">IF($E120="","",($B$3-$E120)/365.25*12)</f>
        <v/>
      </c>
      <c r="G120" s="16" t="str">
        <f aca="false">IF($F120="","",IF($F120&lt;=12,"VIGENTE","VENCIDA"))</f>
        <v/>
      </c>
      <c r="H120" s="32"/>
    </row>
    <row r="121" customFormat="false" ht="15" hidden="false" customHeight="false" outlineLevel="0" collapsed="false">
      <c r="A121" s="32"/>
      <c r="B121" s="33"/>
      <c r="C121" s="32"/>
      <c r="D121" s="34"/>
      <c r="E121" s="35"/>
      <c r="F121" s="36" t="str">
        <f aca="false">IF($E121="","",($B$3-$E121)/365.25*12)</f>
        <v/>
      </c>
      <c r="G121" s="16" t="str">
        <f aca="false">IF($F121="","",IF($F121&lt;=12,"VIGENTE","VENCIDA"))</f>
        <v/>
      </c>
      <c r="H121" s="32"/>
    </row>
    <row r="122" customFormat="false" ht="15" hidden="false" customHeight="false" outlineLevel="0" collapsed="false">
      <c r="A122" s="32"/>
      <c r="B122" s="33"/>
      <c r="C122" s="32"/>
      <c r="D122" s="34"/>
      <c r="E122" s="35"/>
      <c r="F122" s="36" t="str">
        <f aca="false">IF($E122="","",($B$3-$E122)/365.25*12)</f>
        <v/>
      </c>
      <c r="G122" s="16" t="str">
        <f aca="false">IF($F122="","",IF($F122&lt;=12,"VIGENTE","VENCIDA"))</f>
        <v/>
      </c>
      <c r="H122" s="32"/>
    </row>
    <row r="123" customFormat="false" ht="15" hidden="false" customHeight="false" outlineLevel="0" collapsed="false">
      <c r="A123" s="32"/>
      <c r="B123" s="33"/>
      <c r="C123" s="32"/>
      <c r="D123" s="34"/>
      <c r="E123" s="35"/>
      <c r="F123" s="36" t="str">
        <f aca="false">IF($E123="","",($B$3-$E123)/365.25*12)</f>
        <v/>
      </c>
      <c r="G123" s="16" t="str">
        <f aca="false">IF($F123="","",IF($F123&lt;=12,"VIGENTE","VENCIDA"))</f>
        <v/>
      </c>
      <c r="H123" s="32"/>
    </row>
    <row r="124" customFormat="false" ht="15" hidden="false" customHeight="false" outlineLevel="0" collapsed="false">
      <c r="A124" s="32"/>
      <c r="B124" s="33"/>
      <c r="C124" s="32"/>
      <c r="D124" s="34"/>
      <c r="E124" s="35"/>
      <c r="F124" s="36" t="str">
        <f aca="false">IF($E124="","",($B$3-$E124)/365.25*12)</f>
        <v/>
      </c>
      <c r="G124" s="16" t="str">
        <f aca="false">IF($F124="","",IF($F124&lt;=12,"VIGENTE","VENCIDA"))</f>
        <v/>
      </c>
      <c r="H124" s="32"/>
    </row>
    <row r="125" customFormat="false" ht="15" hidden="false" customHeight="false" outlineLevel="0" collapsed="false">
      <c r="A125" s="32"/>
      <c r="B125" s="33"/>
      <c r="C125" s="32"/>
      <c r="D125" s="34"/>
      <c r="E125" s="35"/>
      <c r="F125" s="36" t="str">
        <f aca="false">IF($E125="","",($B$3-$E125)/365.25*12)</f>
        <v/>
      </c>
      <c r="G125" s="16" t="str">
        <f aca="false">IF($F125="","",IF($F125&lt;=12,"VIGENTE","VENCIDA"))</f>
        <v/>
      </c>
      <c r="H125" s="32"/>
    </row>
    <row r="126" customFormat="false" ht="15" hidden="false" customHeight="false" outlineLevel="0" collapsed="false">
      <c r="A126" s="32"/>
      <c r="B126" s="33"/>
      <c r="C126" s="32"/>
      <c r="D126" s="34"/>
      <c r="E126" s="35"/>
      <c r="F126" s="36" t="str">
        <f aca="false">IF($E126="","",($B$3-$E126)/365.25*12)</f>
        <v/>
      </c>
      <c r="G126" s="16" t="str">
        <f aca="false">IF($F126="","",IF($F126&lt;=12,"VIGENTE","VENCIDA"))</f>
        <v/>
      </c>
      <c r="H126" s="32"/>
    </row>
    <row r="127" customFormat="false" ht="15" hidden="false" customHeight="false" outlineLevel="0" collapsed="false">
      <c r="A127" s="32"/>
      <c r="B127" s="33"/>
      <c r="C127" s="32"/>
      <c r="D127" s="34"/>
      <c r="E127" s="35"/>
      <c r="F127" s="36" t="str">
        <f aca="false">IF($E127="","",($B$3-$E127)/365.25*12)</f>
        <v/>
      </c>
      <c r="G127" s="16" t="str">
        <f aca="false">IF($F127="","",IF($F127&lt;=12,"VIGENTE","VENCIDA"))</f>
        <v/>
      </c>
      <c r="H127" s="32"/>
    </row>
    <row r="128" customFormat="false" ht="15" hidden="false" customHeight="false" outlineLevel="0" collapsed="false">
      <c r="A128" s="32"/>
      <c r="B128" s="33"/>
      <c r="C128" s="32"/>
      <c r="D128" s="34"/>
      <c r="E128" s="35"/>
      <c r="F128" s="36" t="str">
        <f aca="false">IF($E128="","",($B$3-$E128)/365.25*12)</f>
        <v/>
      </c>
      <c r="G128" s="16" t="str">
        <f aca="false">IF($F128="","",IF($F128&lt;=12,"VIGENTE","VENCIDA"))</f>
        <v/>
      </c>
      <c r="H128" s="32"/>
    </row>
    <row r="129" customFormat="false" ht="15" hidden="false" customHeight="false" outlineLevel="0" collapsed="false">
      <c r="A129" s="32"/>
      <c r="B129" s="33"/>
      <c r="C129" s="32"/>
      <c r="D129" s="34"/>
      <c r="E129" s="35"/>
      <c r="F129" s="36" t="str">
        <f aca="false">IF($E129="","",($B$3-$E129)/365.25*12)</f>
        <v/>
      </c>
      <c r="G129" s="16" t="str">
        <f aca="false">IF($F129="","",IF($F129&lt;=12,"VIGENTE","VENCIDA"))</f>
        <v/>
      </c>
      <c r="H129" s="32"/>
    </row>
    <row r="130" customFormat="false" ht="15" hidden="false" customHeight="false" outlineLevel="0" collapsed="false">
      <c r="A130" s="32"/>
      <c r="B130" s="33"/>
      <c r="C130" s="32"/>
      <c r="D130" s="34"/>
      <c r="E130" s="35"/>
      <c r="F130" s="36" t="str">
        <f aca="false">IF($E130="","",($B$3-$E130)/365.25*12)</f>
        <v/>
      </c>
      <c r="G130" s="16" t="str">
        <f aca="false">IF($F130="","",IF($F130&lt;=12,"VIGENTE","VENCIDA"))</f>
        <v/>
      </c>
      <c r="H130" s="32"/>
    </row>
    <row r="131" customFormat="false" ht="15" hidden="false" customHeight="false" outlineLevel="0" collapsed="false">
      <c r="A131" s="32"/>
      <c r="B131" s="33"/>
      <c r="C131" s="32"/>
      <c r="D131" s="34"/>
      <c r="E131" s="35"/>
      <c r="F131" s="36" t="str">
        <f aca="false">IF($E131="","",($B$3-$E131)/365.25*12)</f>
        <v/>
      </c>
      <c r="G131" s="16" t="str">
        <f aca="false">IF($F131="","",IF($F131&lt;=12,"VIGENTE","VENCIDA"))</f>
        <v/>
      </c>
      <c r="H131" s="32"/>
    </row>
    <row r="132" customFormat="false" ht="15" hidden="false" customHeight="false" outlineLevel="0" collapsed="false">
      <c r="A132" s="32"/>
      <c r="B132" s="33"/>
      <c r="C132" s="32"/>
      <c r="D132" s="34"/>
      <c r="E132" s="35"/>
      <c r="F132" s="36" t="str">
        <f aca="false">IF($E132="","",($B$3-$E132)/365.25*12)</f>
        <v/>
      </c>
      <c r="G132" s="16" t="str">
        <f aca="false">IF($F132="","",IF($F132&lt;=12,"VIGENTE","VENCIDA"))</f>
        <v/>
      </c>
      <c r="H132" s="32"/>
    </row>
    <row r="133" customFormat="false" ht="15" hidden="false" customHeight="false" outlineLevel="0" collapsed="false">
      <c r="A133" s="32"/>
      <c r="B133" s="33"/>
      <c r="C133" s="32"/>
      <c r="D133" s="34"/>
      <c r="E133" s="35"/>
      <c r="F133" s="36" t="str">
        <f aca="false">IF($E133="","",($B$3-$E133)/365.25*12)</f>
        <v/>
      </c>
      <c r="G133" s="16" t="str">
        <f aca="false">IF($F133="","",IF($F133&lt;=12,"VIGENTE","VENCIDA"))</f>
        <v/>
      </c>
      <c r="H133" s="32"/>
    </row>
    <row r="134" customFormat="false" ht="15" hidden="false" customHeight="false" outlineLevel="0" collapsed="false">
      <c r="A134" s="32"/>
      <c r="B134" s="33"/>
      <c r="C134" s="32"/>
      <c r="D134" s="34"/>
      <c r="E134" s="35"/>
      <c r="F134" s="36" t="str">
        <f aca="false">IF($E134="","",($B$3-$E134)/365.25*12)</f>
        <v/>
      </c>
      <c r="G134" s="16" t="str">
        <f aca="false">IF($F134="","",IF($F134&lt;=12,"VIGENTE","VENCIDA"))</f>
        <v/>
      </c>
      <c r="H134" s="32"/>
    </row>
    <row r="135" customFormat="false" ht="15" hidden="false" customHeight="false" outlineLevel="0" collapsed="false">
      <c r="A135" s="32"/>
      <c r="B135" s="33"/>
      <c r="C135" s="32"/>
      <c r="D135" s="34"/>
      <c r="E135" s="35"/>
      <c r="F135" s="36" t="str">
        <f aca="false">IF($E135="","",($B$3-$E135)/365.25*12)</f>
        <v/>
      </c>
      <c r="G135" s="16" t="str">
        <f aca="false">IF($F135="","",IF($F135&lt;=12,"VIGENTE","VENCIDA"))</f>
        <v/>
      </c>
      <c r="H135" s="32"/>
    </row>
    <row r="136" customFormat="false" ht="15" hidden="false" customHeight="false" outlineLevel="0" collapsed="false">
      <c r="A136" s="32"/>
      <c r="B136" s="33"/>
      <c r="C136" s="32"/>
      <c r="D136" s="34"/>
      <c r="E136" s="35"/>
      <c r="F136" s="36" t="str">
        <f aca="false">IF($E136="","",($B$3-$E136)/365.25*12)</f>
        <v/>
      </c>
      <c r="G136" s="16" t="str">
        <f aca="false">IF($F136="","",IF($F136&lt;=12,"VIGENTE","VENCIDA"))</f>
        <v/>
      </c>
      <c r="H136" s="32"/>
    </row>
    <row r="137" customFormat="false" ht="15" hidden="false" customHeight="false" outlineLevel="0" collapsed="false">
      <c r="A137" s="32"/>
      <c r="B137" s="33"/>
      <c r="C137" s="32"/>
      <c r="D137" s="34"/>
      <c r="E137" s="35"/>
      <c r="F137" s="36" t="str">
        <f aca="false">IF($E137="","",($B$3-$E137)/365.25*12)</f>
        <v/>
      </c>
      <c r="G137" s="16" t="str">
        <f aca="false">IF($F137="","",IF($F137&lt;=12,"VIGENTE","VENCIDA"))</f>
        <v/>
      </c>
      <c r="H137" s="32"/>
    </row>
    <row r="138" customFormat="false" ht="15" hidden="false" customHeight="false" outlineLevel="0" collapsed="false">
      <c r="A138" s="32"/>
      <c r="B138" s="33"/>
      <c r="C138" s="32"/>
      <c r="D138" s="34"/>
      <c r="E138" s="35"/>
      <c r="F138" s="36" t="str">
        <f aca="false">IF($E138="","",($B$3-$E138)/365.25*12)</f>
        <v/>
      </c>
      <c r="G138" s="16" t="str">
        <f aca="false">IF($F138="","",IF($F138&lt;=12,"VIGENTE","VENCIDA"))</f>
        <v/>
      </c>
      <c r="H138" s="32"/>
    </row>
    <row r="139" customFormat="false" ht="15" hidden="false" customHeight="false" outlineLevel="0" collapsed="false">
      <c r="A139" s="32"/>
      <c r="B139" s="33"/>
      <c r="C139" s="32"/>
      <c r="D139" s="34"/>
      <c r="E139" s="35"/>
      <c r="F139" s="36" t="str">
        <f aca="false">IF($E139="","",($B$3-$E139)/365.25*12)</f>
        <v/>
      </c>
      <c r="G139" s="16" t="str">
        <f aca="false">IF($F139="","",IF($F139&lt;=12,"VIGENTE","VENCIDA"))</f>
        <v/>
      </c>
      <c r="H139" s="32"/>
    </row>
    <row r="140" customFormat="false" ht="15" hidden="false" customHeight="false" outlineLevel="0" collapsed="false">
      <c r="A140" s="32"/>
      <c r="B140" s="33"/>
      <c r="C140" s="32"/>
      <c r="D140" s="34"/>
      <c r="E140" s="35"/>
      <c r="F140" s="36" t="str">
        <f aca="false">IF($E140="","",($B$3-$E140)/365.25*12)</f>
        <v/>
      </c>
      <c r="G140" s="16" t="str">
        <f aca="false">IF($F140="","",IF($F140&lt;=12,"VIGENTE","VENCIDA"))</f>
        <v/>
      </c>
      <c r="H140" s="32"/>
    </row>
    <row r="141" customFormat="false" ht="15" hidden="false" customHeight="false" outlineLevel="0" collapsed="false">
      <c r="A141" s="32"/>
      <c r="B141" s="33"/>
      <c r="C141" s="32"/>
      <c r="D141" s="34"/>
      <c r="E141" s="35"/>
      <c r="F141" s="36" t="str">
        <f aca="false">IF($E141="","",($B$3-$E141)/365.25*12)</f>
        <v/>
      </c>
      <c r="G141" s="16" t="str">
        <f aca="false">IF($F141="","",IF($F141&lt;=12,"VIGENTE","VENCIDA"))</f>
        <v/>
      </c>
      <c r="H141" s="32"/>
    </row>
    <row r="142" customFormat="false" ht="15" hidden="false" customHeight="false" outlineLevel="0" collapsed="false">
      <c r="A142" s="32"/>
      <c r="B142" s="33"/>
      <c r="C142" s="32"/>
      <c r="D142" s="34"/>
      <c r="E142" s="35"/>
      <c r="F142" s="36" t="str">
        <f aca="false">IF($E142="","",($B$3-$E142)/365.25*12)</f>
        <v/>
      </c>
      <c r="G142" s="16" t="str">
        <f aca="false">IF($F142="","",IF($F142&lt;=12,"VIGENTE","VENCIDA"))</f>
        <v/>
      </c>
      <c r="H142" s="32"/>
    </row>
    <row r="143" customFormat="false" ht="15" hidden="false" customHeight="false" outlineLevel="0" collapsed="false">
      <c r="A143" s="32"/>
      <c r="B143" s="33"/>
      <c r="C143" s="32"/>
      <c r="D143" s="34"/>
      <c r="E143" s="35"/>
      <c r="F143" s="36" t="str">
        <f aca="false">IF($E143="","",($B$3-$E143)/365.25*12)</f>
        <v/>
      </c>
      <c r="G143" s="16" t="str">
        <f aca="false">IF($F143="","",IF($F143&lt;=12,"VIGENTE","VENCIDA"))</f>
        <v/>
      </c>
      <c r="H143" s="32"/>
    </row>
    <row r="144" customFormat="false" ht="15" hidden="false" customHeight="false" outlineLevel="0" collapsed="false">
      <c r="A144" s="32"/>
      <c r="B144" s="33"/>
      <c r="C144" s="32"/>
      <c r="D144" s="34"/>
      <c r="E144" s="35"/>
      <c r="F144" s="36" t="str">
        <f aca="false">IF($E144="","",($B$3-$E144)/365.25*12)</f>
        <v/>
      </c>
      <c r="G144" s="16" t="str">
        <f aca="false">IF($F144="","",IF($F144&lt;=12,"VIGENTE","VENCIDA"))</f>
        <v/>
      </c>
      <c r="H144" s="32"/>
    </row>
    <row r="145" customFormat="false" ht="15" hidden="false" customHeight="false" outlineLevel="0" collapsed="false">
      <c r="A145" s="32"/>
      <c r="B145" s="33"/>
      <c r="C145" s="32"/>
      <c r="D145" s="34"/>
      <c r="E145" s="35"/>
      <c r="F145" s="36" t="str">
        <f aca="false">IF($E145="","",($B$3-$E145)/365.25*12)</f>
        <v/>
      </c>
      <c r="G145" s="16" t="str">
        <f aca="false">IF($F145="","",IF($F145&lt;=12,"VIGENTE","VENCIDA"))</f>
        <v/>
      </c>
      <c r="H145" s="32"/>
    </row>
    <row r="146" customFormat="false" ht="15" hidden="false" customHeight="false" outlineLevel="0" collapsed="false">
      <c r="A146" s="32"/>
      <c r="B146" s="33"/>
      <c r="C146" s="32"/>
      <c r="D146" s="34"/>
      <c r="E146" s="35"/>
      <c r="F146" s="36" t="str">
        <f aca="false">IF($E146="","",($B$3-$E146)/365.25*12)</f>
        <v/>
      </c>
      <c r="G146" s="16" t="str">
        <f aca="false">IF($F146="","",IF($F146&lt;=12,"VIGENTE","VENCIDA"))</f>
        <v/>
      </c>
      <c r="H146" s="32"/>
    </row>
    <row r="147" customFormat="false" ht="15" hidden="false" customHeight="false" outlineLevel="0" collapsed="false">
      <c r="A147" s="32"/>
      <c r="B147" s="33"/>
      <c r="C147" s="32"/>
      <c r="D147" s="34"/>
      <c r="E147" s="35"/>
      <c r="F147" s="36" t="str">
        <f aca="false">IF($E147="","",($B$3-$E147)/365.25*12)</f>
        <v/>
      </c>
      <c r="G147" s="16" t="str">
        <f aca="false">IF($F147="","",IF($F147&lt;=12,"VIGENTE","VENCIDA"))</f>
        <v/>
      </c>
      <c r="H147" s="32"/>
    </row>
    <row r="148" customFormat="false" ht="15" hidden="false" customHeight="false" outlineLevel="0" collapsed="false">
      <c r="A148" s="32"/>
      <c r="B148" s="33"/>
      <c r="C148" s="32"/>
      <c r="D148" s="34"/>
      <c r="E148" s="35"/>
      <c r="F148" s="36" t="str">
        <f aca="false">IF($E148="","",($B$3-$E148)/365.25*12)</f>
        <v/>
      </c>
      <c r="G148" s="16" t="str">
        <f aca="false">IF($F148="","",IF($F148&lt;=12,"VIGENTE","VENCIDA"))</f>
        <v/>
      </c>
      <c r="H148" s="32"/>
    </row>
    <row r="149" customFormat="false" ht="15" hidden="false" customHeight="false" outlineLevel="0" collapsed="false">
      <c r="A149" s="32"/>
      <c r="B149" s="33"/>
      <c r="C149" s="32"/>
      <c r="D149" s="34"/>
      <c r="E149" s="35"/>
      <c r="F149" s="36" t="str">
        <f aca="false">IF($E149="","",($B$3-$E149)/365.25*12)</f>
        <v/>
      </c>
      <c r="G149" s="16" t="str">
        <f aca="false">IF($F149="","",IF($F149&lt;=12,"VIGENTE","VENCIDA"))</f>
        <v/>
      </c>
      <c r="H149" s="32"/>
    </row>
    <row r="150" customFormat="false" ht="15" hidden="false" customHeight="false" outlineLevel="0" collapsed="false">
      <c r="A150" s="32"/>
      <c r="B150" s="33"/>
      <c r="C150" s="32"/>
      <c r="D150" s="34"/>
      <c r="E150" s="35"/>
      <c r="F150" s="36" t="str">
        <f aca="false">IF($E150="","",($B$3-$E150)/365.25*12)</f>
        <v/>
      </c>
      <c r="G150" s="16" t="str">
        <f aca="false">IF($F150="","",IF($F150&lt;=12,"VIGENTE","VENCIDA"))</f>
        <v/>
      </c>
      <c r="H150" s="32"/>
    </row>
    <row r="151" customFormat="false" ht="15" hidden="false" customHeight="false" outlineLevel="0" collapsed="false">
      <c r="A151" s="32"/>
      <c r="B151" s="33"/>
      <c r="C151" s="32"/>
      <c r="D151" s="34"/>
      <c r="E151" s="35"/>
      <c r="F151" s="36" t="str">
        <f aca="false">IF($E151="","",($B$3-$E151)/365.25*12)</f>
        <v/>
      </c>
      <c r="G151" s="16" t="str">
        <f aca="false">IF($F151="","",IF($F151&lt;=12,"VIGENTE","VENCIDA"))</f>
        <v/>
      </c>
      <c r="H151" s="32"/>
    </row>
    <row r="152" customFormat="false" ht="15" hidden="false" customHeight="false" outlineLevel="0" collapsed="false">
      <c r="A152" s="32"/>
      <c r="B152" s="33"/>
      <c r="C152" s="32"/>
      <c r="D152" s="34"/>
      <c r="E152" s="35"/>
      <c r="F152" s="36" t="str">
        <f aca="false">IF($E152="","",($B$3-$E152)/365.25*12)</f>
        <v/>
      </c>
      <c r="G152" s="16" t="str">
        <f aca="false">IF($F152="","",IF($F152&lt;=12,"VIGENTE","VENCIDA"))</f>
        <v/>
      </c>
      <c r="H152" s="32"/>
    </row>
    <row r="153" customFormat="false" ht="15" hidden="false" customHeight="false" outlineLevel="0" collapsed="false">
      <c r="A153" s="32"/>
      <c r="B153" s="33"/>
      <c r="C153" s="32"/>
      <c r="D153" s="34"/>
      <c r="E153" s="35"/>
      <c r="F153" s="36" t="str">
        <f aca="false">IF($E153="","",($B$3-$E153)/365.25*12)</f>
        <v/>
      </c>
      <c r="G153" s="16" t="str">
        <f aca="false">IF($F153="","",IF($F153&lt;=12,"VIGENTE","VENCIDA"))</f>
        <v/>
      </c>
      <c r="H153" s="32"/>
    </row>
    <row r="154" customFormat="false" ht="15" hidden="false" customHeight="false" outlineLevel="0" collapsed="false">
      <c r="A154" s="32"/>
      <c r="B154" s="33"/>
      <c r="C154" s="32"/>
      <c r="D154" s="34"/>
      <c r="E154" s="35"/>
      <c r="F154" s="36" t="str">
        <f aca="false">IF($E154="","",($B$3-$E154)/365.25*12)</f>
        <v/>
      </c>
      <c r="G154" s="16" t="str">
        <f aca="false">IF($F154="","",IF($F154&lt;=12,"VIGENTE","VENCIDA"))</f>
        <v/>
      </c>
      <c r="H154" s="32"/>
    </row>
    <row r="155" customFormat="false" ht="15" hidden="false" customHeight="false" outlineLevel="0" collapsed="false">
      <c r="A155" s="32"/>
      <c r="B155" s="33"/>
      <c r="C155" s="32"/>
      <c r="D155" s="34"/>
      <c r="E155" s="35"/>
      <c r="F155" s="36" t="str">
        <f aca="false">IF($E155="","",($B$3-$E155)/365.25*12)</f>
        <v/>
      </c>
      <c r="G155" s="16" t="str">
        <f aca="false">IF($F155="","",IF($F155&lt;=12,"VIGENTE","VENCIDA"))</f>
        <v/>
      </c>
      <c r="H155" s="32"/>
    </row>
    <row r="156" customFormat="false" ht="15" hidden="false" customHeight="false" outlineLevel="0" collapsed="false">
      <c r="A156" s="32"/>
      <c r="B156" s="33"/>
      <c r="C156" s="32"/>
      <c r="D156" s="34"/>
      <c r="E156" s="35"/>
      <c r="F156" s="36" t="str">
        <f aca="false">IF($E156="","",($B$3-$E156)/365.25*12)</f>
        <v/>
      </c>
      <c r="G156" s="16" t="str">
        <f aca="false">IF($F156="","",IF($F156&lt;=12,"VIGENTE","VENCIDA"))</f>
        <v/>
      </c>
      <c r="H156" s="32"/>
    </row>
    <row r="157" customFormat="false" ht="15" hidden="false" customHeight="false" outlineLevel="0" collapsed="false">
      <c r="A157" s="32"/>
      <c r="B157" s="33"/>
      <c r="C157" s="32"/>
      <c r="D157" s="34"/>
      <c r="E157" s="35"/>
      <c r="F157" s="36" t="str">
        <f aca="false">IF($E157="","",($B$3-$E157)/365.25*12)</f>
        <v/>
      </c>
      <c r="G157" s="16" t="str">
        <f aca="false">IF($F157="","",IF($F157&lt;=12,"VIGENTE","VENCIDA"))</f>
        <v/>
      </c>
      <c r="H157" s="32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2026-08-24T21:33:59Z</dcterms:created>
  <dc:creator>openpyxl</dc:creator>
  <dc:description/>
  <dc:language>en-US</dc:language>
  <cp:lastModifiedBy/>
  <dcterms:modified xsi:type="dcterms:W3CDTF">2026-08-24T21:34:02Z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