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OBSOLESCENCIA" sheetId="2" state="visible" r:id="rId4"/>
    <sheet name="INSERVIBLES" sheetId="3" state="visible" r:id="rId5"/>
    <sheet name="CASO_FORTUITO" sheetId="4" state="visible" r:id="rId6"/>
    <sheet name="OTRAS_CAUSALES" sheetId="5" state="visible" r:id="rId7"/>
    <sheet name="EN_CUSTODI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<sst xmlns="http://schemas.openxmlformats.org/spreadsheetml/2006/main" count="698" uniqueCount="147">
  <si>
    <t xml:space="preserve">PL-13 - Propuesta y Certificación de Baja de Bienes</t>
  </si>
  <si>
    <t xml:space="preserve">Paso del proceso</t>
  </si>
  <si>
    <t xml:space="preserve">09 - Clasificación y baja de bienes</t>
  </si>
  <si>
    <t xml:space="preserve">Responsable de diligenciar</t>
  </si>
  <si>
    <t xml:space="preserve">Especialista técnico -&gt; Comite de Saneamiento</t>
  </si>
  <si>
    <t xml:space="preserve">Documento de referencia</t>
  </si>
  <si>
    <t xml:space="preserve">09_BAJA_DE_BIENES.md</t>
  </si>
  <si>
    <t xml:space="preserve">Se convierte en</t>
  </si>
  <si>
    <t xml:space="preserve">EN-09-02 Listado de bienes a dar de baja por causal</t>
  </si>
  <si>
    <t xml:space="preserve">QUE SE DEBE SOLICITAR ANTES DE DILIGENCIAR</t>
  </si>
  <si>
    <t xml:space="preserve">-</t>
  </si>
  <si>
    <t xml:space="preserve">Listado de candidatos a baja (PL-08, columna candidato_baja)</t>
  </si>
  <si>
    <t xml:space="preserve">Listado de faltantes de la conciliación (PL-07b, tipo FALTANTE_FISICO)</t>
  </si>
  <si>
    <t xml:space="preserve">IN-09-03 Historial de mantenimiento correctivo fallido (PL-05 hoja MANTENIMIENTOS)</t>
  </si>
  <si>
    <t xml:space="preserve">IN-09-04 COTIZACION DE REPARACION de los equipos danados - sin ella la causal INSERVIBLE no tiene soporte</t>
  </si>
  <si>
    <t xml:space="preserve">IN-09-05 Concepto de descontinuacion de repuestos del fabricante</t>
  </si>
  <si>
    <t xml:space="preserve">IN-09-06 Manual o procedimiento de baja de bienes de la E.S.E</t>
  </si>
  <si>
    <t xml:space="preserve">IN-09-08 Normativa ambiental de disposición (RAEE y residuos hospitalarios)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</si>
  <si>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</si>
  <si>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</si>
  <si>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</si>
  <si>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</si>
  <si>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</si>
  <si>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</si>
  <si>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</si>
  <si>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</si>
  <si>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</si>
  <si>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</si>
  <si>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Use una hoja por causal. La hoja EN_CUSTODIA NO es baja: son bienes funcionales guardados.</t>
  </si>
  <si>
    <t xml:space="preserve">Cada bien exige justificación técnica INDIVIDUAL: no se aceptan textos genéricos por lote.</t>
  </si>
  <si>
    <t xml:space="preserve">La causal INSERVIBLE exige cotizacion de reparación; la columna recomendacion_economica orienta la decisión.</t>
  </si>
  <si>
    <t xml:space="preserve">La causal CASO_FORTUITO exige reporte a Control Interno, además de la baja contable.</t>
  </si>
  <si>
    <t xml:space="preserve">Ninguna baja se ejecuta sin acta de aprobación del Comite de Saneamiento.</t>
  </si>
  <si>
    <t xml:space="preserve">Un bien dado de baja NO se borra del inventario: cambia de estado y conserva su historial.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</si>
  <si>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</si>
  <si>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</si>
  <si>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</si>
  <si>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</si>
  <si>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</si>
  <si>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</si>
  <si>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</si>
  <si>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</si>
  <si>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</si>
  <si>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HOJA: OBSOLESCENCIA</t>
  </si>
  <si>
    <t xml:space="preserve">codigo_institucional</t>
  </si>
  <si>
    <t xml:space="preserve">texto</t>
  </si>
  <si>
    <t xml:space="preserve">SI</t>
  </si>
  <si>
    <t xml:space="preserve">placa</t>
  </si>
  <si>
    <t xml:space="preserve">no</t>
  </si>
  <si>
    <t xml:space="preserve">descripcion_bien</t>
  </si>
  <si>
    <t xml:space="preserve">marca</t>
  </si>
  <si>
    <t xml:space="preserve">modelo</t>
  </si>
  <si>
    <t xml:space="preserve">serie</t>
  </si>
  <si>
    <t xml:space="preserve">servicio_ubicacion</t>
  </si>
  <si>
    <t xml:space="preserve">clase_activo</t>
  </si>
  <si>
    <t xml:space="preserve">subcuenta_contable</t>
  </si>
  <si>
    <t xml:space="preserve">valor_adquisicion</t>
  </si>
  <si>
    <t xml:space="preserve">moneda</t>
  </si>
  <si>
    <t xml:space="preserve">depreciacion_acumulada</t>
  </si>
  <si>
    <t xml:space="preserve">Viene de PL-09.</t>
  </si>
  <si>
    <t xml:space="preserve">valor_neto_libros</t>
  </si>
  <si>
    <t xml:space="preserve">CALC</t>
  </si>
  <si>
    <t xml:space="preserve">CALCULADO: valor de adquisición - depreciación acumulada. Es la pérdida a reconocer.</t>
  </si>
  <si>
    <t xml:space="preserve">indice_obsolescencia</t>
  </si>
  <si>
    <t xml:space="preserve">número</t>
  </si>
  <si>
    <t xml:space="preserve">Viene de PL-08.</t>
  </si>
  <si>
    <t xml:space="preserve">estado_actual</t>
  </si>
  <si>
    <t xml:space="preserve">causal_baja</t>
  </si>
  <si>
    <t xml:space="preserve">Ver RN-09-01.</t>
  </si>
  <si>
    <t xml:space="preserve">justificacion_tecnica</t>
  </si>
  <si>
    <t xml:space="preserve">INDIVIDUAL y especifica. No se aceptan justificaciones genéricas por lote.</t>
  </si>
  <si>
    <t xml:space="preserve">costo_reparacion_estimado</t>
  </si>
  <si>
    <t xml:space="preserve">Obligatorio para causal INSERVIBLE. De la cotizacion IN-09-04.</t>
  </si>
  <si>
    <t xml:space="preserve">valor_reposicion</t>
  </si>
  <si>
    <t xml:space="preserve">Valor de un equipo nuevo equivalente.</t>
  </si>
  <si>
    <t xml:space="preserve">relacion_reparacion_reposicion</t>
  </si>
  <si>
    <t xml:space="preserve">CALCULADA: costo de reparación / valor de reposición.</t>
  </si>
  <si>
    <t xml:space="preserve">recomendacion_economica</t>
  </si>
  <si>
    <t xml:space="preserve">CALCULADA: procede la baja si la reparación supera el 50% del valor de reposición.</t>
  </si>
  <si>
    <t xml:space="preserve">valor_salvamento</t>
  </si>
  <si>
    <t xml:space="preserve">Valor recuperable como chatarra o partes.</t>
  </si>
  <si>
    <t xml:space="preserve">destino_final_propuesto</t>
  </si>
  <si>
    <t xml:space="preserve">Equipos biomédicos y electrónicos exigen gestor ambiental autorizado.</t>
  </si>
  <si>
    <t xml:space="preserve">soporte</t>
  </si>
  <si>
    <t xml:space="preserve">Archivo de evidencia: cotizacion, acta, concepto.</t>
  </si>
  <si>
    <t xml:space="preserve">especialista_certifica</t>
  </si>
  <si>
    <t xml:space="preserve">Quien certifica tecnicamente la baja.</t>
  </si>
  <si>
    <t xml:space="preserve">estado_aprobacion</t>
  </si>
  <si>
    <t xml:space="preserve">La baja SOLO se ejecuta con acta del Comite.</t>
  </si>
  <si>
    <t xml:space="preserve">acta_comite</t>
  </si>
  <si>
    <t xml:space="preserve">Número y fecha del acta que la aprueba.</t>
  </si>
  <si>
    <t xml:space="preserve">resolucion_baja</t>
  </si>
  <si>
    <t xml:space="preserve">Número y fecha de la resolución.</t>
  </si>
  <si>
    <t xml:space="preserve">HOJA: INSERVIBLES</t>
  </si>
  <si>
    <t xml:space="preserve">HOJA: CASO_FORTUITO</t>
  </si>
  <si>
    <t xml:space="preserve">HOJA: OTRAS_CAUSALES</t>
  </si>
  <si>
    <t xml:space="preserve">HOJA: EN_CUSTODIA</t>
  </si>
  <si>
    <t xml:space="preserve">Servicio de origen.</t>
  </si>
  <si>
    <t xml:space="preserve">motivo_custodia</t>
  </si>
  <si>
    <t xml:space="preserve">Por que esta guardado.</t>
  </si>
  <si>
    <t xml:space="preserve">estado_funcional</t>
  </si>
  <si>
    <t xml:space="preserve">Si no es funcional, NO va aquí: va a una hoja de baja.</t>
  </si>
  <si>
    <t xml:space="preserve">fecha_ingreso_custodia</t>
  </si>
  <si>
    <t xml:space="preserve">fecha</t>
  </si>
  <si>
    <t xml:space="preserve">proxima_revision</t>
  </si>
  <si>
    <t xml:space="preserve">CALCULADA: revision anual del estado del bien.</t>
  </si>
  <si>
    <t xml:space="preserve">responsable</t>
  </si>
  <si>
    <t xml:space="preserve">Quien custodia el bien en bodega.</t>
  </si>
  <si>
    <t xml:space="preserve">{{ENTIDAD_RAZON_SOCIAL}}</t>
  </si>
  <si>
    <t xml:space="preserve">PL-13 - Propuesta y Certificación de Baja de Bienes  |  OBSOLESCENCIA</t>
  </si>
  <si>
    <t xml:space="preserve">FECHA DE CORTE:</t>
  </si>
  <si>
    <t xml:space="preserve">{{FECHA_CORTE}}</t>
  </si>
  <si>
    <t xml:space="preserve">SEDE:</t>
  </si>
  <si>
    <t xml:space="preserve">Amarillo = diligenciar   |   Gris = calculado, no escribir   |   Fila 7 = ejemplo, borrela</t>
  </si>
  <si>
    <t xml:space="preserve">HSV01ASP03</t>
  </si>
  <si>
    <t xml:space="preserve">166003025</t>
  </si>
  <si>
    <t xml:space="preserve">ASPIRADOR DE SECRECIONES</t>
  </si>
  <si>
    <t xml:space="preserve">SMAFF</t>
  </si>
  <si>
    <t xml:space="preserve">SXT-5A</t>
  </si>
  <si>
    <t xml:space="preserve">1113028</t>
  </si>
  <si>
    <t xml:space="preserve">URGENCIAS</t>
  </si>
  <si>
    <t xml:space="preserve">EQUIPO MEDICO CIENTIFICO</t>
  </si>
  <si>
    <t xml:space="preserve">166002</t>
  </si>
  <si>
    <t xml:space="preserve">MALO</t>
  </si>
  <si>
    <t xml:space="preserve">OBSOLESCENCIA</t>
  </si>
  <si>
    <t xml:space="preserve">Equipo obsoleto, tecnologia reemplazada por equipos de pared instalados en 2025</t>
  </si>
  <si>
    <t xml:space="preserve">GESTOR_AMBIENTAL</t>
  </si>
  <si>
    <t xml:space="preserve">cot_reparacion_aspirador.pdf</t>
  </si>
  <si>
    <t xml:space="preserve">ING. BIOMEDICA - T.P. 12345</t>
  </si>
  <si>
    <t xml:space="preserve">PROPUESTO</t>
  </si>
  <si>
    <t xml:space="preserve">PL-13 - Propuesta y Certificación de Baja de Bienes  |  INSERVIBLES</t>
  </si>
  <si>
    <t xml:space="preserve">INSERVIBLE</t>
  </si>
  <si>
    <t xml:space="preserve">Falla en tarjeta de control; reparación no viable por costo frente al valor de reposición</t>
  </si>
  <si>
    <t xml:space="preserve">PL-13 - Propuesta y Certificación de Baja de Bienes  |  CASO_FORTUITO</t>
  </si>
  <si>
    <t xml:space="preserve">CASO_FORTUITO</t>
  </si>
  <si>
    <t xml:space="preserve">No encontrado en el ultimo mantenimiento ni en la toma física; reportado a Control Interno</t>
  </si>
  <si>
    <t xml:space="preserve">PL-13 - Propuesta y Certificación de Baja de Bienes  |  OTRAS_CAUSALES</t>
  </si>
  <si>
    <t xml:space="preserve">DESUSO</t>
  </si>
  <si>
    <t xml:space="preserve">Funcional pero sin utilidad para el servicio tras el cambio de proceso</t>
  </si>
  <si>
    <t xml:space="preserve">PL-13 - Propuesta y Certificación de Baja de Bienes  |  EN_CUSTODIA</t>
  </si>
  <si>
    <t xml:space="preserve">HSV01ANI01</t>
  </si>
  <si>
    <t xml:space="preserve">ANALIZADOR DE INMUNOFLUORESCENCIA</t>
  </si>
  <si>
    <t xml:space="preserve">LABORATORIO CLINICO</t>
  </si>
  <si>
    <t xml:space="preserve">No usado por tipo de muestras y consumibles</t>
  </si>
  <si>
    <t xml:space="preserve">FUNCIONAL</t>
  </si>
  <si>
    <t xml:space="preserve">2026-03-01</t>
  </si>
  <si>
    <t xml:space="preserve">ALMACENISTA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</si>
</sst>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0"/>
    <numFmt numFmtId="167" formatCode="0.0%"/>
    <numFmt numFmtId="168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35" hidden="false" customHeight="fals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fals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2" customFormat="false" ht="15" hidden="false" customHeight="true" outlineLevel="0" collapsed="false">
      <c r="B12" s="6" t="s">
        <v>10</v>
      </c>
      <c r="C12" s="4" t="s">
        <v>13</v>
      </c>
      <c r="D12" s="4"/>
      <c r="E12" s="4"/>
    </row>
    <row r="13" customFormat="false" ht="15" hidden="false" customHeight="true" outlineLevel="0" collapsed="false">
      <c r="B13" s="6" t="s">
        <v>10</v>
      </c>
      <c r="C13" s="4" t="s">
        <v>14</v>
      </c>
      <c r="D13" s="4"/>
      <c r="E13" s="4"/>
    </row>
    <row r="14" customFormat="false" ht="15" hidden="false" customHeight="true" outlineLevel="0" collapsed="false">
      <c r="B14" s="6" t="s">
        <v>10</v>
      </c>
      <c r="C14" s="4" t="s">
        <v>15</v>
      </c>
      <c r="D14" s="4"/>
      <c r="E14" s="4"/>
    </row>
    <row r="15" customFormat="false" ht="15" hidden="false" customHeight="true" outlineLevel="0" collapsed="false">
      <c r="B15" s="6" t="s">
        <v>10</v>
      </c>
      <c r="C15" s="4" t="s">
        <v>16</v>
      </c>
      <c r="D15" s="4"/>
      <c r="E15" s="4"/>
    </row>
    <row r="16" customFormat="false" ht="15" hidden="false" customHeight="true" outlineLevel="0" collapsed="false">
      <c r="B16" s="6" t="s">
        <v>10</v>
      </c>
      <c r="C16" s="4" t="s">
        <v>17</v>
      </c>
      <c r="D16" s="4"/>
      <c r="E16" s="4"/>
    </row>
    <row r="18" customFormat="false" ht="15" hidden="false" customHeight="false" outlineLevel="0" collapsed="false">
      <c r="B18" s="5" t="s">
        <v>18</v>
      </c>
    </row>
    <row r="19" customFormat="false" ht="15" hidden="false" customHeight="false" outlineLevel="0" collapsed="false">
      <c r="B19" s="7" t="s">
        <v>19</v>
      </c>
      <c r="C19" s="8" t="s">
        <v>20</v>
      </c>
      <c r="D19" s="8"/>
      <c r="E19" s="8"/>
    </row>
    <row r="20" customFormat="false" ht="15" hidden="false" customHeight="false" outlineLevel="0" collapsed="false">
      <c r="B20" s="9" t="s">
        <v>21</v>
      </c>
      <c r="C20" s="8" t="s">
        <v>22</v>
      </c>
      <c r="D20" s="8"/>
      <c r="E20" s="8"/>
    </row>
    <row r="21" customFormat="false" ht="15" hidden="false" customHeight="false" outlineLevel="0" collapsed="false">
      <c r="B21" s="10" t="s">
        <v>23</v>
      </c>
      <c r="C21" s="8" t="s">
        <v>24</v>
      </c>
      <c r="D21" s="8"/>
      <c r="E21" s="8"/>
    </row>
    <row r="22" customFormat="false" ht="15" hidden="false" customHeight="false" outlineLevel="0" collapsed="false">
      <c r="B22" s="11" t="s">
        <v>25</v>
      </c>
      <c r="C22" s="8" t="s">
        <v>26</v>
      </c>
      <c r="D22" s="8"/>
      <c r="E22" s="8"/>
    </row>
    <row r="24" customFormat="false" ht="15" hidden="false" customHeight="false" outlineLevel="0" collapsed="false">
      <c r="B24" s="5" t="s">
        <v>27</v>
      </c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7" customFormat="false" ht="15" hidden="false" customHeight="true" outlineLevel="0" collapsed="false">
      <c r="B27" s="6" t="s">
        <v>10</v>
      </c>
      <c r="C27" s="4" t="s">
        <v>30</v>
      </c>
      <c r="D27" s="4"/>
      <c r="E27" s="4"/>
    </row>
    <row r="28" customFormat="false" ht="15" hidden="false" customHeight="true" outlineLevel="0" collapsed="false">
      <c r="B28" s="6" t="s">
        <v>10</v>
      </c>
      <c r="C28" s="4" t="s">
        <v>31</v>
      </c>
      <c r="D28" s="4"/>
      <c r="E28" s="4"/>
    </row>
    <row r="29" customFormat="false" ht="15" hidden="false" customHeight="true" outlineLevel="0" collapsed="false">
      <c r="B29" s="6" t="s">
        <v>10</v>
      </c>
      <c r="C29" s="4" t="s">
        <v>32</v>
      </c>
      <c r="D29" s="4"/>
      <c r="E29" s="4"/>
    </row>
    <row r="30" customFormat="false" ht="15" hidden="false" customHeight="true" outlineLevel="0" collapsed="false">
      <c r="B30" s="6" t="s">
        <v>10</v>
      </c>
      <c r="C30" s="4" t="s">
        <v>33</v>
      </c>
      <c r="D30" s="4"/>
      <c r="E30" s="4"/>
    </row>
    <row r="31" customFormat="false" ht="15" hidden="false" customHeight="true" outlineLevel="0" collapsed="false">
      <c r="B31" s="6" t="s">
        <v>10</v>
      </c>
      <c r="C31" s="4" t="s">
        <v>34</v>
      </c>
      <c r="D31" s="4"/>
      <c r="E31" s="4"/>
    </row>
    <row r="32" customFormat="false" ht="15" hidden="false" customHeight="true" outlineLevel="0" collapsed="false">
      <c r="B32" s="6" t="s">
        <v>10</v>
      </c>
      <c r="C32" s="4" t="s">
        <v>35</v>
      </c>
      <c r="D32" s="4"/>
      <c r="E32" s="4"/>
    </row>
    <row r="33" customFormat="false" ht="15" hidden="false" customHeight="true" outlineLevel="0" collapsed="false">
      <c r="B33" s="6" t="s">
        <v>10</v>
      </c>
      <c r="C33" s="4" t="s">
        <v>36</v>
      </c>
      <c r="D33" s="4"/>
      <c r="E33" s="4"/>
    </row>
    <row r="34" customFormat="false" ht="15" hidden="false" customHeight="true" outlineLevel="0" collapsed="false">
      <c r="B34" s="6" t="s">
        <v>10</v>
      </c>
      <c r="C34" s="4" t="s">
        <v>37</v>
      </c>
      <c r="D34" s="4"/>
      <c r="E34" s="4"/>
    </row>
    <row r="36" customFormat="false" ht="15" hidden="false" customHeight="false" outlineLevel="0" collapsed="false">
      <c r="B36" s="5" t="s">
        <v>38</v>
      </c>
    </row>
    <row r="37" customFormat="false" ht="15" hidden="false" customHeight="false" outlineLevel="0" collapsed="false">
      <c r="B37" s="12" t="s">
        <v>39</v>
      </c>
      <c r="C37" s="12" t="s">
        <v>40</v>
      </c>
      <c r="D37" s="12" t="s">
        <v>41</v>
      </c>
      <c r="E37" s="12" t="s">
        <v>42</v>
      </c>
    </row>
    <row r="38" customFormat="false" ht="15" hidden="false" customHeight="false" outlineLevel="0" collapsed="false">
      <c r="B38" s="13" t="s">
        <v>43</v>
      </c>
      <c r="C38" s="13"/>
      <c r="D38" s="13"/>
      <c r="E38" s="13"/>
    </row>
    <row r="39" customFormat="false" ht="15" hidden="false" customHeight="false" outlineLevel="0" collapsed="false">
      <c r="B39" s="14" t="s">
        <v>44</v>
      </c>
      <c r="C39" s="14" t="s">
        <v>45</v>
      </c>
      <c r="D39" s="15" t="s">
        <v>46</v>
      </c>
      <c r="E39" s="16"/>
    </row>
    <row r="40" customFormat="false" ht="15" hidden="false" customHeight="false" outlineLevel="0" collapsed="false">
      <c r="B40" s="14" t="s">
        <v>47</v>
      </c>
      <c r="C40" s="14" t="s">
        <v>45</v>
      </c>
      <c r="D40" s="17" t="s">
        <v>48</v>
      </c>
      <c r="E40" s="16"/>
    </row>
    <row r="41" customFormat="false" ht="15" hidden="false" customHeight="false" outlineLevel="0" collapsed="false">
      <c r="B41" s="14" t="s">
        <v>49</v>
      </c>
      <c r="C41" s="14" t="s">
        <v>45</v>
      </c>
      <c r="D41" s="15" t="s">
        <v>46</v>
      </c>
      <c r="E41" s="16"/>
    </row>
    <row r="42" customFormat="false" ht="15" hidden="false" customHeight="false" outlineLevel="0" collapsed="false">
      <c r="B42" s="14" t="s">
        <v>50</v>
      </c>
      <c r="C42" s="14" t="s">
        <v>45</v>
      </c>
      <c r="D42" s="17" t="s">
        <v>48</v>
      </c>
      <c r="E42" s="16"/>
    </row>
    <row r="43" customFormat="false" ht="15" hidden="false" customHeight="false" outlineLevel="0" collapsed="false">
      <c r="B43" s="14" t="s">
        <v>51</v>
      </c>
      <c r="C43" s="14" t="s">
        <v>45</v>
      </c>
      <c r="D43" s="17" t="s">
        <v>48</v>
      </c>
      <c r="E43" s="16"/>
    </row>
    <row r="44" customFormat="false" ht="15" hidden="false" customHeight="false" outlineLevel="0" collapsed="false">
      <c r="B44" s="14" t="s">
        <v>52</v>
      </c>
      <c r="C44" s="14" t="s">
        <v>45</v>
      </c>
      <c r="D44" s="17" t="s">
        <v>48</v>
      </c>
      <c r="E44" s="16"/>
    </row>
    <row r="45" customFormat="false" ht="15" hidden="false" customHeight="false" outlineLevel="0" collapsed="false">
      <c r="B45" s="14" t="s">
        <v>53</v>
      </c>
      <c r="C45" s="14" t="s">
        <v>45</v>
      </c>
      <c r="D45" s="15" t="s">
        <v>46</v>
      </c>
      <c r="E45" s="16"/>
    </row>
    <row r="46" customFormat="false" ht="15" hidden="false" customHeight="false" outlineLevel="0" collapsed="false">
      <c r="B46" s="14" t="s">
        <v>54</v>
      </c>
      <c r="C46" s="14" t="s">
        <v>45</v>
      </c>
      <c r="D46" s="15" t="s">
        <v>46</v>
      </c>
      <c r="E46" s="16"/>
    </row>
    <row r="47" customFormat="false" ht="15" hidden="false" customHeight="false" outlineLevel="0" collapsed="false">
      <c r="B47" s="14" t="s">
        <v>55</v>
      </c>
      <c r="C47" s="14" t="s">
        <v>45</v>
      </c>
      <c r="D47" s="15" t="s">
        <v>46</v>
      </c>
      <c r="E47" s="16"/>
    </row>
    <row r="48" customFormat="false" ht="15" hidden="false" customHeight="false" outlineLevel="0" collapsed="false">
      <c r="B48" s="14" t="s">
        <v>56</v>
      </c>
      <c r="C48" s="14" t="s">
        <v>57</v>
      </c>
      <c r="D48" s="15" t="s">
        <v>46</v>
      </c>
      <c r="E48" s="16"/>
    </row>
    <row r="49" customFormat="false" ht="15" hidden="false" customHeight="false" outlineLevel="0" collapsed="false">
      <c r="B49" s="14" t="s">
        <v>58</v>
      </c>
      <c r="C49" s="14" t="s">
        <v>57</v>
      </c>
      <c r="D49" s="15" t="s">
        <v>46</v>
      </c>
      <c r="E49" s="16" t="s">
        <v>59</v>
      </c>
    </row>
    <row r="50" customFormat="false" ht="15" hidden="false" customHeight="false" outlineLevel="0" collapsed="false">
      <c r="B50" s="18" t="s">
        <v>60</v>
      </c>
      <c r="C50" s="18" t="s">
        <v>45</v>
      </c>
      <c r="D50" s="19" t="s">
        <v>61</v>
      </c>
      <c r="E50" s="20" t="s">
        <v>62</v>
      </c>
    </row>
    <row r="51" customFormat="false" ht="15" hidden="false" customHeight="false" outlineLevel="0" collapsed="false">
      <c r="B51" s="14" t="s">
        <v>63</v>
      </c>
      <c r="C51" s="14" t="s">
        <v>64</v>
      </c>
      <c r="D51" s="17" t="s">
        <v>48</v>
      </c>
      <c r="E51" s="16" t="s">
        <v>65</v>
      </c>
    </row>
    <row r="52" customFormat="false" ht="15" hidden="false" customHeight="false" outlineLevel="0" collapsed="false">
      <c r="B52" s="14" t="s">
        <v>66</v>
      </c>
      <c r="C52" s="14" t="s">
        <v>45</v>
      </c>
      <c r="D52" s="15" t="s">
        <v>46</v>
      </c>
      <c r="E52" s="16"/>
    </row>
    <row r="53" customFormat="false" ht="15" hidden="false" customHeight="false" outlineLevel="0" collapsed="false">
      <c r="B53" s="14" t="s">
        <v>67</v>
      </c>
      <c r="C53" s="14" t="s">
        <v>45</v>
      </c>
      <c r="D53" s="15" t="s">
        <v>46</v>
      </c>
      <c r="E53" s="16" t="s">
        <v>68</v>
      </c>
    </row>
    <row r="54" customFormat="false" ht="15" hidden="false" customHeight="false" outlineLevel="0" collapsed="false">
      <c r="B54" s="14" t="s">
        <v>69</v>
      </c>
      <c r="C54" s="14" t="s">
        <v>45</v>
      </c>
      <c r="D54" s="15" t="s">
        <v>46</v>
      </c>
      <c r="E54" s="16" t="s">
        <v>70</v>
      </c>
    </row>
    <row r="55" customFormat="false" ht="15" hidden="false" customHeight="false" outlineLevel="0" collapsed="false">
      <c r="B55" s="14" t="s">
        <v>71</v>
      </c>
      <c r="C55" s="14" t="s">
        <v>57</v>
      </c>
      <c r="D55" s="17" t="s">
        <v>48</v>
      </c>
      <c r="E55" s="16" t="s">
        <v>72</v>
      </c>
    </row>
    <row r="56" customFormat="false" ht="15" hidden="false" customHeight="false" outlineLevel="0" collapsed="false">
      <c r="B56" s="14" t="s">
        <v>73</v>
      </c>
      <c r="C56" s="14" t="s">
        <v>57</v>
      </c>
      <c r="D56" s="17" t="s">
        <v>48</v>
      </c>
      <c r="E56" s="16" t="s">
        <v>74</v>
      </c>
    </row>
    <row r="57" customFormat="false" ht="15" hidden="false" customHeight="false" outlineLevel="0" collapsed="false">
      <c r="B57" s="18" t="s">
        <v>75</v>
      </c>
      <c r="C57" s="18" t="s">
        <v>45</v>
      </c>
      <c r="D57" s="19" t="s">
        <v>61</v>
      </c>
      <c r="E57" s="20" t="s">
        <v>76</v>
      </c>
    </row>
    <row r="58" customFormat="false" ht="15" hidden="false" customHeight="false" outlineLevel="0" collapsed="false">
      <c r="B58" s="18" t="s">
        <v>77</v>
      </c>
      <c r="C58" s="18" t="s">
        <v>45</v>
      </c>
      <c r="D58" s="19" t="s">
        <v>61</v>
      </c>
      <c r="E58" s="20" t="s">
        <v>78</v>
      </c>
    </row>
    <row r="59" customFormat="false" ht="15" hidden="false" customHeight="false" outlineLevel="0" collapsed="false">
      <c r="B59" s="14" t="s">
        <v>79</v>
      </c>
      <c r="C59" s="14" t="s">
        <v>57</v>
      </c>
      <c r="D59" s="17" t="s">
        <v>48</v>
      </c>
      <c r="E59" s="16" t="s">
        <v>80</v>
      </c>
    </row>
    <row r="60" customFormat="false" ht="15" hidden="false" customHeight="false" outlineLevel="0" collapsed="false">
      <c r="B60" s="14" t="s">
        <v>81</v>
      </c>
      <c r="C60" s="14" t="s">
        <v>45</v>
      </c>
      <c r="D60" s="15" t="s">
        <v>46</v>
      </c>
      <c r="E60" s="16" t="s">
        <v>82</v>
      </c>
    </row>
    <row r="61" customFormat="false" ht="15" hidden="false" customHeight="false" outlineLevel="0" collapsed="false">
      <c r="B61" s="14" t="s">
        <v>83</v>
      </c>
      <c r="C61" s="14" t="s">
        <v>45</v>
      </c>
      <c r="D61" s="15" t="s">
        <v>46</v>
      </c>
      <c r="E61" s="16" t="s">
        <v>84</v>
      </c>
    </row>
    <row r="62" customFormat="false" ht="15" hidden="false" customHeight="false" outlineLevel="0" collapsed="false">
      <c r="B62" s="14" t="s">
        <v>85</v>
      </c>
      <c r="C62" s="14" t="s">
        <v>45</v>
      </c>
      <c r="D62" s="15" t="s">
        <v>46</v>
      </c>
      <c r="E62" s="16" t="s">
        <v>86</v>
      </c>
    </row>
    <row r="63" customFormat="false" ht="15" hidden="false" customHeight="false" outlineLevel="0" collapsed="false">
      <c r="B63" s="14" t="s">
        <v>87</v>
      </c>
      <c r="C63" s="14" t="s">
        <v>45</v>
      </c>
      <c r="D63" s="15" t="s">
        <v>46</v>
      </c>
      <c r="E63" s="16" t="s">
        <v>88</v>
      </c>
    </row>
    <row r="64" customFormat="false" ht="15" hidden="false" customHeight="false" outlineLevel="0" collapsed="false">
      <c r="B64" s="14" t="s">
        <v>89</v>
      </c>
      <c r="C64" s="14" t="s">
        <v>45</v>
      </c>
      <c r="D64" s="17" t="s">
        <v>48</v>
      </c>
      <c r="E64" s="16" t="s">
        <v>90</v>
      </c>
    </row>
    <row r="65" customFormat="false" ht="15" hidden="false" customHeight="false" outlineLevel="0" collapsed="false">
      <c r="B65" s="14" t="s">
        <v>91</v>
      </c>
      <c r="C65" s="14" t="s">
        <v>45</v>
      </c>
      <c r="D65" s="17" t="s">
        <v>48</v>
      </c>
      <c r="E65" s="16" t="s">
        <v>92</v>
      </c>
    </row>
    <row r="66" customFormat="false" ht="15" hidden="false" customHeight="false" outlineLevel="0" collapsed="false">
      <c r="B66" s="13" t="s">
        <v>93</v>
      </c>
      <c r="C66" s="13"/>
      <c r="D66" s="13"/>
      <c r="E66" s="13"/>
    </row>
    <row r="67" customFormat="false" ht="15" hidden="false" customHeight="false" outlineLevel="0" collapsed="false">
      <c r="B67" s="14" t="s">
        <v>44</v>
      </c>
      <c r="C67" s="14" t="s">
        <v>45</v>
      </c>
      <c r="D67" s="15" t="s">
        <v>46</v>
      </c>
      <c r="E67" s="16"/>
    </row>
    <row r="68" customFormat="false" ht="15" hidden="false" customHeight="false" outlineLevel="0" collapsed="false">
      <c r="B68" s="14" t="s">
        <v>47</v>
      </c>
      <c r="C68" s="14" t="s">
        <v>45</v>
      </c>
      <c r="D68" s="17" t="s">
        <v>48</v>
      </c>
      <c r="E68" s="16"/>
    </row>
    <row r="69" customFormat="false" ht="15" hidden="false" customHeight="false" outlineLevel="0" collapsed="false">
      <c r="B69" s="14" t="s">
        <v>49</v>
      </c>
      <c r="C69" s="14" t="s">
        <v>45</v>
      </c>
      <c r="D69" s="15" t="s">
        <v>46</v>
      </c>
      <c r="E69" s="16"/>
    </row>
    <row r="70" customFormat="false" ht="15" hidden="false" customHeight="false" outlineLevel="0" collapsed="false">
      <c r="B70" s="14" t="s">
        <v>50</v>
      </c>
      <c r="C70" s="14" t="s">
        <v>45</v>
      </c>
      <c r="D70" s="17" t="s">
        <v>48</v>
      </c>
      <c r="E70" s="16"/>
    </row>
    <row r="71" customFormat="false" ht="15" hidden="false" customHeight="false" outlineLevel="0" collapsed="false">
      <c r="B71" s="14" t="s">
        <v>51</v>
      </c>
      <c r="C71" s="14" t="s">
        <v>45</v>
      </c>
      <c r="D71" s="17" t="s">
        <v>48</v>
      </c>
      <c r="E71" s="16"/>
    </row>
    <row r="72" customFormat="false" ht="15" hidden="false" customHeight="false" outlineLevel="0" collapsed="false">
      <c r="B72" s="14" t="s">
        <v>52</v>
      </c>
      <c r="C72" s="14" t="s">
        <v>45</v>
      </c>
      <c r="D72" s="17" t="s">
        <v>48</v>
      </c>
      <c r="E72" s="16"/>
    </row>
    <row r="73" customFormat="false" ht="15" hidden="false" customHeight="false" outlineLevel="0" collapsed="false">
      <c r="B73" s="14" t="s">
        <v>53</v>
      </c>
      <c r="C73" s="14" t="s">
        <v>45</v>
      </c>
      <c r="D73" s="15" t="s">
        <v>46</v>
      </c>
      <c r="E73" s="16"/>
    </row>
    <row r="74" customFormat="false" ht="15" hidden="false" customHeight="false" outlineLevel="0" collapsed="false">
      <c r="B74" s="14" t="s">
        <v>54</v>
      </c>
      <c r="C74" s="14" t="s">
        <v>45</v>
      </c>
      <c r="D74" s="15" t="s">
        <v>46</v>
      </c>
      <c r="E74" s="16"/>
    </row>
    <row r="75" customFormat="false" ht="15" hidden="false" customHeight="false" outlineLevel="0" collapsed="false">
      <c r="B75" s="14" t="s">
        <v>55</v>
      </c>
      <c r="C75" s="14" t="s">
        <v>45</v>
      </c>
      <c r="D75" s="15" t="s">
        <v>46</v>
      </c>
      <c r="E75" s="16"/>
    </row>
    <row r="76" customFormat="false" ht="15" hidden="false" customHeight="false" outlineLevel="0" collapsed="false">
      <c r="B76" s="14" t="s">
        <v>56</v>
      </c>
      <c r="C76" s="14" t="s">
        <v>57</v>
      </c>
      <c r="D76" s="15" t="s">
        <v>46</v>
      </c>
      <c r="E76" s="16"/>
    </row>
    <row r="77" customFormat="false" ht="15" hidden="false" customHeight="false" outlineLevel="0" collapsed="false">
      <c r="B77" s="14" t="s">
        <v>58</v>
      </c>
      <c r="C77" s="14" t="s">
        <v>57</v>
      </c>
      <c r="D77" s="15" t="s">
        <v>46</v>
      </c>
      <c r="E77" s="16" t="s">
        <v>59</v>
      </c>
    </row>
    <row r="78" customFormat="false" ht="15" hidden="false" customHeight="false" outlineLevel="0" collapsed="false">
      <c r="B78" s="18" t="s">
        <v>60</v>
      </c>
      <c r="C78" s="18" t="s">
        <v>45</v>
      </c>
      <c r="D78" s="19" t="s">
        <v>61</v>
      </c>
      <c r="E78" s="20" t="s">
        <v>62</v>
      </c>
    </row>
    <row r="79" customFormat="false" ht="15" hidden="false" customHeight="false" outlineLevel="0" collapsed="false">
      <c r="B79" s="14" t="s">
        <v>63</v>
      </c>
      <c r="C79" s="14" t="s">
        <v>64</v>
      </c>
      <c r="D79" s="17" t="s">
        <v>48</v>
      </c>
      <c r="E79" s="16" t="s">
        <v>65</v>
      </c>
    </row>
    <row r="80" customFormat="false" ht="15" hidden="false" customHeight="false" outlineLevel="0" collapsed="false">
      <c r="B80" s="14" t="s">
        <v>66</v>
      </c>
      <c r="C80" s="14" t="s">
        <v>45</v>
      </c>
      <c r="D80" s="15" t="s">
        <v>46</v>
      </c>
      <c r="E80" s="16"/>
    </row>
    <row r="81" customFormat="false" ht="15" hidden="false" customHeight="false" outlineLevel="0" collapsed="false">
      <c r="B81" s="14" t="s">
        <v>67</v>
      </c>
      <c r="C81" s="14" t="s">
        <v>45</v>
      </c>
      <c r="D81" s="15" t="s">
        <v>46</v>
      </c>
      <c r="E81" s="16" t="s">
        <v>68</v>
      </c>
    </row>
    <row r="82" customFormat="false" ht="15" hidden="false" customHeight="false" outlineLevel="0" collapsed="false">
      <c r="B82" s="14" t="s">
        <v>69</v>
      </c>
      <c r="C82" s="14" t="s">
        <v>45</v>
      </c>
      <c r="D82" s="15" t="s">
        <v>46</v>
      </c>
      <c r="E82" s="16" t="s">
        <v>70</v>
      </c>
    </row>
    <row r="83" customFormat="false" ht="15" hidden="false" customHeight="false" outlineLevel="0" collapsed="false">
      <c r="B83" s="14" t="s">
        <v>71</v>
      </c>
      <c r="C83" s="14" t="s">
        <v>57</v>
      </c>
      <c r="D83" s="17" t="s">
        <v>48</v>
      </c>
      <c r="E83" s="16" t="s">
        <v>72</v>
      </c>
    </row>
    <row r="84" customFormat="false" ht="15" hidden="false" customHeight="false" outlineLevel="0" collapsed="false">
      <c r="B84" s="14" t="s">
        <v>73</v>
      </c>
      <c r="C84" s="14" t="s">
        <v>57</v>
      </c>
      <c r="D84" s="17" t="s">
        <v>48</v>
      </c>
      <c r="E84" s="16" t="s">
        <v>74</v>
      </c>
    </row>
    <row r="85" customFormat="false" ht="15" hidden="false" customHeight="false" outlineLevel="0" collapsed="false">
      <c r="B85" s="18" t="s">
        <v>75</v>
      </c>
      <c r="C85" s="18" t="s">
        <v>45</v>
      </c>
      <c r="D85" s="19" t="s">
        <v>61</v>
      </c>
      <c r="E85" s="20" t="s">
        <v>76</v>
      </c>
    </row>
    <row r="86" customFormat="false" ht="15" hidden="false" customHeight="false" outlineLevel="0" collapsed="false">
      <c r="B86" s="18" t="s">
        <v>77</v>
      </c>
      <c r="C86" s="18" t="s">
        <v>45</v>
      </c>
      <c r="D86" s="19" t="s">
        <v>61</v>
      </c>
      <c r="E86" s="20" t="s">
        <v>78</v>
      </c>
    </row>
    <row r="87" customFormat="false" ht="15" hidden="false" customHeight="false" outlineLevel="0" collapsed="false">
      <c r="B87" s="14" t="s">
        <v>79</v>
      </c>
      <c r="C87" s="14" t="s">
        <v>57</v>
      </c>
      <c r="D87" s="17" t="s">
        <v>48</v>
      </c>
      <c r="E87" s="16" t="s">
        <v>80</v>
      </c>
    </row>
    <row r="88" customFormat="false" ht="15" hidden="false" customHeight="false" outlineLevel="0" collapsed="false">
      <c r="B88" s="14" t="s">
        <v>81</v>
      </c>
      <c r="C88" s="14" t="s">
        <v>45</v>
      </c>
      <c r="D88" s="15" t="s">
        <v>46</v>
      </c>
      <c r="E88" s="16" t="s">
        <v>82</v>
      </c>
    </row>
    <row r="89" customFormat="false" ht="15" hidden="false" customHeight="false" outlineLevel="0" collapsed="false">
      <c r="B89" s="14" t="s">
        <v>83</v>
      </c>
      <c r="C89" s="14" t="s">
        <v>45</v>
      </c>
      <c r="D89" s="15" t="s">
        <v>46</v>
      </c>
      <c r="E89" s="16" t="s">
        <v>84</v>
      </c>
    </row>
    <row r="90" customFormat="false" ht="15" hidden="false" customHeight="false" outlineLevel="0" collapsed="false">
      <c r="B90" s="14" t="s">
        <v>85</v>
      </c>
      <c r="C90" s="14" t="s">
        <v>45</v>
      </c>
      <c r="D90" s="15" t="s">
        <v>46</v>
      </c>
      <c r="E90" s="16" t="s">
        <v>86</v>
      </c>
    </row>
    <row r="91" customFormat="false" ht="15" hidden="false" customHeight="false" outlineLevel="0" collapsed="false">
      <c r="B91" s="14" t="s">
        <v>87</v>
      </c>
      <c r="C91" s="14" t="s">
        <v>45</v>
      </c>
      <c r="D91" s="15" t="s">
        <v>46</v>
      </c>
      <c r="E91" s="16" t="s">
        <v>88</v>
      </c>
    </row>
    <row r="92" customFormat="false" ht="15" hidden="false" customHeight="false" outlineLevel="0" collapsed="false">
      <c r="B92" s="14" t="s">
        <v>89</v>
      </c>
      <c r="C92" s="14" t="s">
        <v>45</v>
      </c>
      <c r="D92" s="17" t="s">
        <v>48</v>
      </c>
      <c r="E92" s="16" t="s">
        <v>90</v>
      </c>
    </row>
    <row r="93" customFormat="false" ht="15" hidden="false" customHeight="false" outlineLevel="0" collapsed="false">
      <c r="B93" s="14" t="s">
        <v>91</v>
      </c>
      <c r="C93" s="14" t="s">
        <v>45</v>
      </c>
      <c r="D93" s="17" t="s">
        <v>48</v>
      </c>
      <c r="E93" s="16" t="s">
        <v>92</v>
      </c>
    </row>
    <row r="94" customFormat="false" ht="15" hidden="false" customHeight="false" outlineLevel="0" collapsed="false">
      <c r="B94" s="13" t="s">
        <v>94</v>
      </c>
      <c r="C94" s="13"/>
      <c r="D94" s="13"/>
      <c r="E94" s="13"/>
    </row>
    <row r="95" customFormat="false" ht="15" hidden="false" customHeight="false" outlineLevel="0" collapsed="false">
      <c r="B95" s="14" t="s">
        <v>44</v>
      </c>
      <c r="C95" s="14" t="s">
        <v>45</v>
      </c>
      <c r="D95" s="15" t="s">
        <v>46</v>
      </c>
      <c r="E95" s="16"/>
    </row>
    <row r="96" customFormat="false" ht="15" hidden="false" customHeight="false" outlineLevel="0" collapsed="false">
      <c r="B96" s="14" t="s">
        <v>47</v>
      </c>
      <c r="C96" s="14" t="s">
        <v>45</v>
      </c>
      <c r="D96" s="17" t="s">
        <v>48</v>
      </c>
      <c r="E96" s="16"/>
    </row>
    <row r="97" customFormat="false" ht="15" hidden="false" customHeight="false" outlineLevel="0" collapsed="false">
      <c r="B97" s="14" t="s">
        <v>49</v>
      </c>
      <c r="C97" s="14" t="s">
        <v>45</v>
      </c>
      <c r="D97" s="15" t="s">
        <v>46</v>
      </c>
      <c r="E97" s="16"/>
    </row>
    <row r="98" customFormat="false" ht="15" hidden="false" customHeight="false" outlineLevel="0" collapsed="false">
      <c r="B98" s="14" t="s">
        <v>50</v>
      </c>
      <c r="C98" s="14" t="s">
        <v>45</v>
      </c>
      <c r="D98" s="17" t="s">
        <v>48</v>
      </c>
      <c r="E98" s="16"/>
    </row>
    <row r="99" customFormat="false" ht="15" hidden="false" customHeight="false" outlineLevel="0" collapsed="false">
      <c r="B99" s="14" t="s">
        <v>51</v>
      </c>
      <c r="C99" s="14" t="s">
        <v>45</v>
      </c>
      <c r="D99" s="17" t="s">
        <v>48</v>
      </c>
      <c r="E99" s="16"/>
    </row>
    <row r="100" customFormat="false" ht="15" hidden="false" customHeight="false" outlineLevel="0" collapsed="false">
      <c r="B100" s="14" t="s">
        <v>52</v>
      </c>
      <c r="C100" s="14" t="s">
        <v>45</v>
      </c>
      <c r="D100" s="17" t="s">
        <v>48</v>
      </c>
      <c r="E100" s="16"/>
    </row>
    <row r="101" customFormat="false" ht="15" hidden="false" customHeight="false" outlineLevel="0" collapsed="false">
      <c r="B101" s="14" t="s">
        <v>53</v>
      </c>
      <c r="C101" s="14" t="s">
        <v>45</v>
      </c>
      <c r="D101" s="15" t="s">
        <v>46</v>
      </c>
      <c r="E101" s="16"/>
    </row>
    <row r="102" customFormat="false" ht="15" hidden="false" customHeight="false" outlineLevel="0" collapsed="false">
      <c r="B102" s="14" t="s">
        <v>54</v>
      </c>
      <c r="C102" s="14" t="s">
        <v>45</v>
      </c>
      <c r="D102" s="15" t="s">
        <v>46</v>
      </c>
      <c r="E102" s="16"/>
    </row>
    <row r="103" customFormat="false" ht="15" hidden="false" customHeight="false" outlineLevel="0" collapsed="false">
      <c r="B103" s="14" t="s">
        <v>55</v>
      </c>
      <c r="C103" s="14" t="s">
        <v>45</v>
      </c>
      <c r="D103" s="15" t="s">
        <v>46</v>
      </c>
      <c r="E103" s="16"/>
    </row>
    <row r="104" customFormat="false" ht="15" hidden="false" customHeight="false" outlineLevel="0" collapsed="false">
      <c r="B104" s="14" t="s">
        <v>56</v>
      </c>
      <c r="C104" s="14" t="s">
        <v>57</v>
      </c>
      <c r="D104" s="15" t="s">
        <v>46</v>
      </c>
      <c r="E104" s="16"/>
    </row>
    <row r="105" customFormat="false" ht="15" hidden="false" customHeight="false" outlineLevel="0" collapsed="false">
      <c r="B105" s="14" t="s">
        <v>58</v>
      </c>
      <c r="C105" s="14" t="s">
        <v>57</v>
      </c>
      <c r="D105" s="15" t="s">
        <v>46</v>
      </c>
      <c r="E105" s="16" t="s">
        <v>59</v>
      </c>
    </row>
    <row r="106" customFormat="false" ht="15" hidden="false" customHeight="false" outlineLevel="0" collapsed="false">
      <c r="B106" s="18" t="s">
        <v>60</v>
      </c>
      <c r="C106" s="18" t="s">
        <v>45</v>
      </c>
      <c r="D106" s="19" t="s">
        <v>61</v>
      </c>
      <c r="E106" s="20" t="s">
        <v>62</v>
      </c>
    </row>
    <row r="107" customFormat="false" ht="15" hidden="false" customHeight="false" outlineLevel="0" collapsed="false">
      <c r="B107" s="14" t="s">
        <v>63</v>
      </c>
      <c r="C107" s="14" t="s">
        <v>64</v>
      </c>
      <c r="D107" s="17" t="s">
        <v>48</v>
      </c>
      <c r="E107" s="16" t="s">
        <v>65</v>
      </c>
    </row>
    <row r="108" customFormat="false" ht="15" hidden="false" customHeight="false" outlineLevel="0" collapsed="false">
      <c r="B108" s="14" t="s">
        <v>66</v>
      </c>
      <c r="C108" s="14" t="s">
        <v>45</v>
      </c>
      <c r="D108" s="15" t="s">
        <v>46</v>
      </c>
      <c r="E108" s="16"/>
    </row>
    <row r="109" customFormat="false" ht="15" hidden="false" customHeight="false" outlineLevel="0" collapsed="false">
      <c r="B109" s="14" t="s">
        <v>67</v>
      </c>
      <c r="C109" s="14" t="s">
        <v>45</v>
      </c>
      <c r="D109" s="15" t="s">
        <v>46</v>
      </c>
      <c r="E109" s="16" t="s">
        <v>68</v>
      </c>
    </row>
    <row r="110" customFormat="false" ht="15" hidden="false" customHeight="false" outlineLevel="0" collapsed="false">
      <c r="B110" s="14" t="s">
        <v>69</v>
      </c>
      <c r="C110" s="14" t="s">
        <v>45</v>
      </c>
      <c r="D110" s="15" t="s">
        <v>46</v>
      </c>
      <c r="E110" s="16" t="s">
        <v>70</v>
      </c>
    </row>
    <row r="111" customFormat="false" ht="15" hidden="false" customHeight="false" outlineLevel="0" collapsed="false">
      <c r="B111" s="14" t="s">
        <v>71</v>
      </c>
      <c r="C111" s="14" t="s">
        <v>57</v>
      </c>
      <c r="D111" s="17" t="s">
        <v>48</v>
      </c>
      <c r="E111" s="16" t="s">
        <v>72</v>
      </c>
    </row>
    <row r="112" customFormat="false" ht="15" hidden="false" customHeight="false" outlineLevel="0" collapsed="false">
      <c r="B112" s="14" t="s">
        <v>73</v>
      </c>
      <c r="C112" s="14" t="s">
        <v>57</v>
      </c>
      <c r="D112" s="17" t="s">
        <v>48</v>
      </c>
      <c r="E112" s="16" t="s">
        <v>74</v>
      </c>
    </row>
    <row r="113" customFormat="false" ht="15" hidden="false" customHeight="false" outlineLevel="0" collapsed="false">
      <c r="B113" s="18" t="s">
        <v>75</v>
      </c>
      <c r="C113" s="18" t="s">
        <v>45</v>
      </c>
      <c r="D113" s="19" t="s">
        <v>61</v>
      </c>
      <c r="E113" s="20" t="s">
        <v>76</v>
      </c>
    </row>
    <row r="114" customFormat="false" ht="15" hidden="false" customHeight="false" outlineLevel="0" collapsed="false">
      <c r="B114" s="18" t="s">
        <v>77</v>
      </c>
      <c r="C114" s="18" t="s">
        <v>45</v>
      </c>
      <c r="D114" s="19" t="s">
        <v>61</v>
      </c>
      <c r="E114" s="20" t="s">
        <v>78</v>
      </c>
    </row>
    <row r="115" customFormat="false" ht="15" hidden="false" customHeight="false" outlineLevel="0" collapsed="false">
      <c r="B115" s="14" t="s">
        <v>79</v>
      </c>
      <c r="C115" s="14" t="s">
        <v>57</v>
      </c>
      <c r="D115" s="17" t="s">
        <v>48</v>
      </c>
      <c r="E115" s="16" t="s">
        <v>80</v>
      </c>
    </row>
    <row r="116" customFormat="false" ht="15" hidden="false" customHeight="false" outlineLevel="0" collapsed="false">
      <c r="B116" s="14" t="s">
        <v>81</v>
      </c>
      <c r="C116" s="14" t="s">
        <v>45</v>
      </c>
      <c r="D116" s="15" t="s">
        <v>46</v>
      </c>
      <c r="E116" s="16" t="s">
        <v>82</v>
      </c>
    </row>
    <row r="117" customFormat="false" ht="15" hidden="false" customHeight="false" outlineLevel="0" collapsed="false">
      <c r="B117" s="14" t="s">
        <v>83</v>
      </c>
      <c r="C117" s="14" t="s">
        <v>45</v>
      </c>
      <c r="D117" s="15" t="s">
        <v>46</v>
      </c>
      <c r="E117" s="16" t="s">
        <v>84</v>
      </c>
    </row>
    <row r="118" customFormat="false" ht="15" hidden="false" customHeight="false" outlineLevel="0" collapsed="false">
      <c r="B118" s="14" t="s">
        <v>85</v>
      </c>
      <c r="C118" s="14" t="s">
        <v>45</v>
      </c>
      <c r="D118" s="15" t="s">
        <v>46</v>
      </c>
      <c r="E118" s="16" t="s">
        <v>86</v>
      </c>
    </row>
    <row r="119" customFormat="false" ht="15" hidden="false" customHeight="false" outlineLevel="0" collapsed="false">
      <c r="B119" s="14" t="s">
        <v>87</v>
      </c>
      <c r="C119" s="14" t="s">
        <v>45</v>
      </c>
      <c r="D119" s="15" t="s">
        <v>46</v>
      </c>
      <c r="E119" s="16" t="s">
        <v>88</v>
      </c>
    </row>
    <row r="120" customFormat="false" ht="15" hidden="false" customHeight="false" outlineLevel="0" collapsed="false">
      <c r="B120" s="14" t="s">
        <v>89</v>
      </c>
      <c r="C120" s="14" t="s">
        <v>45</v>
      </c>
      <c r="D120" s="17" t="s">
        <v>48</v>
      </c>
      <c r="E120" s="16" t="s">
        <v>90</v>
      </c>
    </row>
    <row r="121" customFormat="false" ht="15" hidden="false" customHeight="false" outlineLevel="0" collapsed="false">
      <c r="B121" s="14" t="s">
        <v>91</v>
      </c>
      <c r="C121" s="14" t="s">
        <v>45</v>
      </c>
      <c r="D121" s="17" t="s">
        <v>48</v>
      </c>
      <c r="E121" s="16" t="s">
        <v>92</v>
      </c>
    </row>
    <row r="122" customFormat="false" ht="15" hidden="false" customHeight="false" outlineLevel="0" collapsed="false">
      <c r="B122" s="13" t="s">
        <v>95</v>
      </c>
      <c r="C122" s="13"/>
      <c r="D122" s="13"/>
      <c r="E122" s="13"/>
    </row>
    <row r="123" customFormat="false" ht="15" hidden="false" customHeight="false" outlineLevel="0" collapsed="false">
      <c r="B123" s="14" t="s">
        <v>44</v>
      </c>
      <c r="C123" s="14" t="s">
        <v>45</v>
      </c>
      <c r="D123" s="15" t="s">
        <v>46</v>
      </c>
      <c r="E123" s="16"/>
    </row>
    <row r="124" customFormat="false" ht="15" hidden="false" customHeight="false" outlineLevel="0" collapsed="false">
      <c r="B124" s="14" t="s">
        <v>47</v>
      </c>
      <c r="C124" s="14" t="s">
        <v>45</v>
      </c>
      <c r="D124" s="17" t="s">
        <v>48</v>
      </c>
      <c r="E124" s="16"/>
    </row>
    <row r="125" customFormat="false" ht="15" hidden="false" customHeight="false" outlineLevel="0" collapsed="false">
      <c r="B125" s="14" t="s">
        <v>49</v>
      </c>
      <c r="C125" s="14" t="s">
        <v>45</v>
      </c>
      <c r="D125" s="15" t="s">
        <v>46</v>
      </c>
      <c r="E125" s="16"/>
    </row>
    <row r="126" customFormat="false" ht="15" hidden="false" customHeight="false" outlineLevel="0" collapsed="false">
      <c r="B126" s="14" t="s">
        <v>50</v>
      </c>
      <c r="C126" s="14" t="s">
        <v>45</v>
      </c>
      <c r="D126" s="17" t="s">
        <v>48</v>
      </c>
      <c r="E126" s="16"/>
    </row>
    <row r="127" customFormat="false" ht="15" hidden="false" customHeight="false" outlineLevel="0" collapsed="false">
      <c r="B127" s="14" t="s">
        <v>51</v>
      </c>
      <c r="C127" s="14" t="s">
        <v>45</v>
      </c>
      <c r="D127" s="17" t="s">
        <v>48</v>
      </c>
      <c r="E127" s="16"/>
    </row>
    <row r="128" customFormat="false" ht="15" hidden="false" customHeight="false" outlineLevel="0" collapsed="false">
      <c r="B128" s="14" t="s">
        <v>52</v>
      </c>
      <c r="C128" s="14" t="s">
        <v>45</v>
      </c>
      <c r="D128" s="17" t="s">
        <v>48</v>
      </c>
      <c r="E128" s="16"/>
    </row>
    <row r="129" customFormat="false" ht="15" hidden="false" customHeight="false" outlineLevel="0" collapsed="false">
      <c r="B129" s="14" t="s">
        <v>53</v>
      </c>
      <c r="C129" s="14" t="s">
        <v>45</v>
      </c>
      <c r="D129" s="15" t="s">
        <v>46</v>
      </c>
      <c r="E129" s="16"/>
    </row>
    <row r="130" customFormat="false" ht="15" hidden="false" customHeight="false" outlineLevel="0" collapsed="false">
      <c r="B130" s="14" t="s">
        <v>54</v>
      </c>
      <c r="C130" s="14" t="s">
        <v>45</v>
      </c>
      <c r="D130" s="15" t="s">
        <v>46</v>
      </c>
      <c r="E130" s="16"/>
    </row>
    <row r="131" customFormat="false" ht="15" hidden="false" customHeight="false" outlineLevel="0" collapsed="false">
      <c r="B131" s="14" t="s">
        <v>55</v>
      </c>
      <c r="C131" s="14" t="s">
        <v>45</v>
      </c>
      <c r="D131" s="15" t="s">
        <v>46</v>
      </c>
      <c r="E131" s="16"/>
    </row>
    <row r="132" customFormat="false" ht="15" hidden="false" customHeight="false" outlineLevel="0" collapsed="false">
      <c r="B132" s="14" t="s">
        <v>56</v>
      </c>
      <c r="C132" s="14" t="s">
        <v>57</v>
      </c>
      <c r="D132" s="15" t="s">
        <v>46</v>
      </c>
      <c r="E132" s="16"/>
    </row>
    <row r="133" customFormat="false" ht="15" hidden="false" customHeight="false" outlineLevel="0" collapsed="false">
      <c r="B133" s="14" t="s">
        <v>58</v>
      </c>
      <c r="C133" s="14" t="s">
        <v>57</v>
      </c>
      <c r="D133" s="15" t="s">
        <v>46</v>
      </c>
      <c r="E133" s="16" t="s">
        <v>59</v>
      </c>
    </row>
    <row r="134" customFormat="false" ht="15" hidden="false" customHeight="false" outlineLevel="0" collapsed="false">
      <c r="B134" s="18" t="s">
        <v>60</v>
      </c>
      <c r="C134" s="18" t="s">
        <v>45</v>
      </c>
      <c r="D134" s="19" t="s">
        <v>61</v>
      </c>
      <c r="E134" s="20" t="s">
        <v>62</v>
      </c>
    </row>
    <row r="135" customFormat="false" ht="15" hidden="false" customHeight="false" outlineLevel="0" collapsed="false">
      <c r="B135" s="14" t="s">
        <v>63</v>
      </c>
      <c r="C135" s="14" t="s">
        <v>64</v>
      </c>
      <c r="D135" s="17" t="s">
        <v>48</v>
      </c>
      <c r="E135" s="16" t="s">
        <v>65</v>
      </c>
    </row>
    <row r="136" customFormat="false" ht="15" hidden="false" customHeight="false" outlineLevel="0" collapsed="false">
      <c r="B136" s="14" t="s">
        <v>66</v>
      </c>
      <c r="C136" s="14" t="s">
        <v>45</v>
      </c>
      <c r="D136" s="15" t="s">
        <v>46</v>
      </c>
      <c r="E136" s="16"/>
    </row>
    <row r="137" customFormat="false" ht="15" hidden="false" customHeight="false" outlineLevel="0" collapsed="false">
      <c r="B137" s="14" t="s">
        <v>67</v>
      </c>
      <c r="C137" s="14" t="s">
        <v>45</v>
      </c>
      <c r="D137" s="15" t="s">
        <v>46</v>
      </c>
      <c r="E137" s="16" t="s">
        <v>68</v>
      </c>
    </row>
    <row r="138" customFormat="false" ht="15" hidden="false" customHeight="false" outlineLevel="0" collapsed="false">
      <c r="B138" s="14" t="s">
        <v>69</v>
      </c>
      <c r="C138" s="14" t="s">
        <v>45</v>
      </c>
      <c r="D138" s="15" t="s">
        <v>46</v>
      </c>
      <c r="E138" s="16" t="s">
        <v>70</v>
      </c>
    </row>
    <row r="139" customFormat="false" ht="15" hidden="false" customHeight="false" outlineLevel="0" collapsed="false">
      <c r="B139" s="14" t="s">
        <v>71</v>
      </c>
      <c r="C139" s="14" t="s">
        <v>57</v>
      </c>
      <c r="D139" s="17" t="s">
        <v>48</v>
      </c>
      <c r="E139" s="16" t="s">
        <v>72</v>
      </c>
    </row>
    <row r="140" customFormat="false" ht="15" hidden="false" customHeight="false" outlineLevel="0" collapsed="false">
      <c r="B140" s="14" t="s">
        <v>73</v>
      </c>
      <c r="C140" s="14" t="s">
        <v>57</v>
      </c>
      <c r="D140" s="17" t="s">
        <v>48</v>
      </c>
      <c r="E140" s="16" t="s">
        <v>74</v>
      </c>
    </row>
    <row r="141" customFormat="false" ht="15" hidden="false" customHeight="false" outlineLevel="0" collapsed="false">
      <c r="B141" s="18" t="s">
        <v>75</v>
      </c>
      <c r="C141" s="18" t="s">
        <v>45</v>
      </c>
      <c r="D141" s="19" t="s">
        <v>61</v>
      </c>
      <c r="E141" s="20" t="s">
        <v>76</v>
      </c>
    </row>
    <row r="142" customFormat="false" ht="15" hidden="false" customHeight="false" outlineLevel="0" collapsed="false">
      <c r="B142" s="18" t="s">
        <v>77</v>
      </c>
      <c r="C142" s="18" t="s">
        <v>45</v>
      </c>
      <c r="D142" s="19" t="s">
        <v>61</v>
      </c>
      <c r="E142" s="20" t="s">
        <v>78</v>
      </c>
    </row>
    <row r="143" customFormat="false" ht="15" hidden="false" customHeight="false" outlineLevel="0" collapsed="false">
      <c r="B143" s="14" t="s">
        <v>79</v>
      </c>
      <c r="C143" s="14" t="s">
        <v>57</v>
      </c>
      <c r="D143" s="17" t="s">
        <v>48</v>
      </c>
      <c r="E143" s="16" t="s">
        <v>80</v>
      </c>
    </row>
    <row r="144" customFormat="false" ht="15" hidden="false" customHeight="false" outlineLevel="0" collapsed="false">
      <c r="B144" s="14" t="s">
        <v>81</v>
      </c>
      <c r="C144" s="14" t="s">
        <v>45</v>
      </c>
      <c r="D144" s="15" t="s">
        <v>46</v>
      </c>
      <c r="E144" s="16" t="s">
        <v>82</v>
      </c>
    </row>
    <row r="145" customFormat="false" ht="15" hidden="false" customHeight="false" outlineLevel="0" collapsed="false">
      <c r="B145" s="14" t="s">
        <v>83</v>
      </c>
      <c r="C145" s="14" t="s">
        <v>45</v>
      </c>
      <c r="D145" s="15" t="s">
        <v>46</v>
      </c>
      <c r="E145" s="16" t="s">
        <v>84</v>
      </c>
    </row>
    <row r="146" customFormat="false" ht="15" hidden="false" customHeight="false" outlineLevel="0" collapsed="false">
      <c r="B146" s="14" t="s">
        <v>85</v>
      </c>
      <c r="C146" s="14" t="s">
        <v>45</v>
      </c>
      <c r="D146" s="15" t="s">
        <v>46</v>
      </c>
      <c r="E146" s="16" t="s">
        <v>86</v>
      </c>
    </row>
    <row r="147" customFormat="false" ht="15" hidden="false" customHeight="false" outlineLevel="0" collapsed="false">
      <c r="B147" s="14" t="s">
        <v>87</v>
      </c>
      <c r="C147" s="14" t="s">
        <v>45</v>
      </c>
      <c r="D147" s="15" t="s">
        <v>46</v>
      </c>
      <c r="E147" s="16" t="s">
        <v>88</v>
      </c>
    </row>
    <row r="148" customFormat="false" ht="15" hidden="false" customHeight="false" outlineLevel="0" collapsed="false">
      <c r="B148" s="14" t="s">
        <v>89</v>
      </c>
      <c r="C148" s="14" t="s">
        <v>45</v>
      </c>
      <c r="D148" s="17" t="s">
        <v>48</v>
      </c>
      <c r="E148" s="16" t="s">
        <v>90</v>
      </c>
    </row>
    <row r="149" customFormat="false" ht="15" hidden="false" customHeight="false" outlineLevel="0" collapsed="false">
      <c r="B149" s="14" t="s">
        <v>91</v>
      </c>
      <c r="C149" s="14" t="s">
        <v>45</v>
      </c>
      <c r="D149" s="17" t="s">
        <v>48</v>
      </c>
      <c r="E149" s="16" t="s">
        <v>92</v>
      </c>
    </row>
    <row r="150" customFormat="false" ht="15" hidden="false" customHeight="false" outlineLevel="0" collapsed="false">
      <c r="B150" s="13" t="s">
        <v>96</v>
      </c>
      <c r="C150" s="13"/>
      <c r="D150" s="13"/>
      <c r="E150" s="13"/>
    </row>
    <row r="151" customFormat="false" ht="15" hidden="false" customHeight="false" outlineLevel="0" collapsed="false">
      <c r="B151" s="14" t="s">
        <v>44</v>
      </c>
      <c r="C151" s="14" t="s">
        <v>45</v>
      </c>
      <c r="D151" s="15" t="s">
        <v>46</v>
      </c>
      <c r="E151" s="16"/>
    </row>
    <row r="152" customFormat="false" ht="15" hidden="false" customHeight="false" outlineLevel="0" collapsed="false">
      <c r="B152" s="14" t="s">
        <v>49</v>
      </c>
      <c r="C152" s="14" t="s">
        <v>45</v>
      </c>
      <c r="D152" s="15" t="s">
        <v>46</v>
      </c>
      <c r="E152" s="16"/>
    </row>
    <row r="153" customFormat="false" ht="15" hidden="false" customHeight="false" outlineLevel="0" collapsed="false">
      <c r="B153" s="14" t="s">
        <v>53</v>
      </c>
      <c r="C153" s="14" t="s">
        <v>45</v>
      </c>
      <c r="D153" s="15" t="s">
        <v>46</v>
      </c>
      <c r="E153" s="16" t="s">
        <v>97</v>
      </c>
    </row>
    <row r="154" customFormat="false" ht="15" hidden="false" customHeight="false" outlineLevel="0" collapsed="false">
      <c r="B154" s="14" t="s">
        <v>98</v>
      </c>
      <c r="C154" s="14" t="s">
        <v>45</v>
      </c>
      <c r="D154" s="15" t="s">
        <v>46</v>
      </c>
      <c r="E154" s="16" t="s">
        <v>99</v>
      </c>
    </row>
    <row r="155" customFormat="false" ht="15" hidden="false" customHeight="false" outlineLevel="0" collapsed="false">
      <c r="B155" s="14" t="s">
        <v>100</v>
      </c>
      <c r="C155" s="14" t="s">
        <v>45</v>
      </c>
      <c r="D155" s="15" t="s">
        <v>46</v>
      </c>
      <c r="E155" s="16" t="s">
        <v>101</v>
      </c>
    </row>
    <row r="156" customFormat="false" ht="15" hidden="false" customHeight="false" outlineLevel="0" collapsed="false">
      <c r="B156" s="14" t="s">
        <v>102</v>
      </c>
      <c r="C156" s="14" t="s">
        <v>103</v>
      </c>
      <c r="D156" s="15" t="s">
        <v>46</v>
      </c>
      <c r="E156" s="16"/>
    </row>
    <row r="157" customFormat="false" ht="15" hidden="false" customHeight="false" outlineLevel="0" collapsed="false">
      <c r="B157" s="18" t="s">
        <v>104</v>
      </c>
      <c r="C157" s="18" t="s">
        <v>45</v>
      </c>
      <c r="D157" s="19" t="s">
        <v>61</v>
      </c>
      <c r="E157" s="20" t="s">
        <v>105</v>
      </c>
    </row>
    <row r="158" customFormat="false" ht="15" hidden="false" customHeight="false" outlineLevel="0" collapsed="false">
      <c r="B158" s="14" t="s">
        <v>106</v>
      </c>
      <c r="C158" s="14" t="s">
        <v>45</v>
      </c>
      <c r="D158" s="15" t="s">
        <v>46</v>
      </c>
      <c r="E158" s="16" t="s">
        <v>107</v>
      </c>
    </row>
  </sheetData>
  <mergeCells count="30">
    <mergeCell ref="C4:E4"/>
    <mergeCell ref="C5:E5"/>
    <mergeCell ref="C6:E6"/>
    <mergeCell ref="C7:E7"/>
    <mergeCell ref="C10:E10"/>
    <mergeCell ref="C11:E11"/>
    <mergeCell ref="C12:E12"/>
    <mergeCell ref="C13:E13"/>
    <mergeCell ref="C14:E14"/>
    <mergeCell ref="C15:E15"/>
    <mergeCell ref="C16:E16"/>
    <mergeCell ref="C19:E19"/>
    <mergeCell ref="C20:E20"/>
    <mergeCell ref="C21:E21"/>
    <mergeCell ref="C22:E22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B38:E38"/>
    <mergeCell ref="B66:E66"/>
    <mergeCell ref="B94:E94"/>
    <mergeCell ref="B122:E122"/>
    <mergeCell ref="B150:E1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6" min="4" style="1" width="16"/>
    <col collapsed="false" customWidth="true" hidden="false" outlineLevel="0" max="8" min="7" style="1" width="22"/>
    <col collapsed="false" customWidth="true" hidden="false" outlineLevel="0" max="9" min="9" style="1" width="14"/>
    <col collapsed="false" customWidth="true" hidden="false" outlineLevel="0" max="12" min="10" style="1" width="16"/>
    <col collapsed="false" customWidth="true" hidden="false" outlineLevel="0" max="14" min="13" style="1" width="13"/>
    <col collapsed="false" customWidth="true" hidden="false" outlineLevel="0" max="15" min="15" style="1" width="22"/>
    <col collapsed="false" customWidth="true" hidden="false" outlineLevel="0" max="16" min="16" style="1" width="44"/>
    <col collapsed="false" customWidth="true" hidden="false" outlineLevel="0" max="18" min="17" style="1" width="16"/>
    <col collapsed="false" customWidth="true" hidden="false" outlineLevel="0" max="19" min="19" style="1" width="14"/>
    <col collapsed="false" customWidth="true" hidden="false" outlineLevel="0" max="20" min="20" style="1" width="18"/>
    <col collapsed="false" customWidth="true" hidden="false" outlineLevel="0" max="21" min="21" style="1" width="14"/>
    <col collapsed="false" customWidth="true" hidden="false" outlineLevel="0" max="22" min="22" style="1" width="22"/>
    <col collapsed="false" customWidth="true" hidden="false" outlineLevel="0" max="23" min="23" style="1" width="24"/>
    <col collapsed="false" customWidth="true" hidden="false" outlineLevel="0" max="24" min="24" style="1" width="28"/>
    <col collapsed="false" customWidth="true" hidden="false" outlineLevel="0" max="25" min="25" style="1" width="22"/>
    <col collapsed="false" customWidth="true" hidden="false" outlineLevel="0" max="27" min="26" style="1" width="18"/>
  </cols>
  <sheetData>
    <row r="1" customFormat="false" ht="15" hidden="false" customHeight="false" outlineLevel="0" collapsed="false">
      <c r="A1" s="21" t="s">
        <v>108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customFormat="false" ht="15" hidden="false" customHeight="false" outlineLevel="0" collapsed="false">
      <c r="A2" s="22" t="s">
        <v>109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customFormat="false" ht="15" hidden="false" customHeight="false" outlineLevel="0" collapsed="false">
      <c r="A3" s="3" t="s">
        <v>110</v>
      </c>
      <c r="B3" s="23" t="s">
        <v>111</v>
      </c>
      <c r="D3" s="3" t="s">
        <v>112</v>
      </c>
      <c r="E3" s="24"/>
    </row>
    <row r="4" customFormat="false" ht="15" hidden="false" customHeight="false" outlineLevel="0" collapsed="false">
      <c r="A4" s="25" t="s">
        <v>113</v>
      </c>
    </row>
    <row r="6" customFormat="false" ht="33.75" hidden="false" customHeight="true" outlineLevel="0" collapsed="false">
      <c r="A6" s="26" t="s">
        <v>44</v>
      </c>
      <c r="B6" s="26" t="s">
        <v>47</v>
      </c>
      <c r="C6" s="26" t="s">
        <v>49</v>
      </c>
      <c r="D6" s="26" t="s">
        <v>50</v>
      </c>
      <c r="E6" s="26" t="s">
        <v>51</v>
      </c>
      <c r="F6" s="26" t="s">
        <v>52</v>
      </c>
      <c r="G6" s="26" t="s">
        <v>53</v>
      </c>
      <c r="H6" s="26" t="s">
        <v>54</v>
      </c>
      <c r="I6" s="26" t="s">
        <v>55</v>
      </c>
      <c r="J6" s="26" t="s">
        <v>56</v>
      </c>
      <c r="K6" s="26" t="s">
        <v>58</v>
      </c>
      <c r="L6" s="27" t="s">
        <v>60</v>
      </c>
      <c r="M6" s="26" t="s">
        <v>63</v>
      </c>
      <c r="N6" s="26" t="s">
        <v>66</v>
      </c>
      <c r="O6" s="26" t="s">
        <v>67</v>
      </c>
      <c r="P6" s="26" t="s">
        <v>69</v>
      </c>
      <c r="Q6" s="26" t="s">
        <v>71</v>
      </c>
      <c r="R6" s="26" t="s">
        <v>73</v>
      </c>
      <c r="S6" s="27" t="s">
        <v>75</v>
      </c>
      <c r="T6" s="27" t="s">
        <v>77</v>
      </c>
      <c r="U6" s="26" t="s">
        <v>79</v>
      </c>
      <c r="V6" s="26" t="s">
        <v>81</v>
      </c>
      <c r="W6" s="26" t="s">
        <v>83</v>
      </c>
      <c r="X6" s="26" t="s">
        <v>85</v>
      </c>
      <c r="Y6" s="26" t="s">
        <v>87</v>
      </c>
      <c r="Z6" s="26" t="s">
        <v>89</v>
      </c>
      <c r="AA6" s="26" t="s">
        <v>91</v>
      </c>
    </row>
    <row r="7" customFormat="false" ht="22.35" hidden="false" customHeight="false" outlineLevel="0" collapsed="false">
      <c r="A7" s="28" t="s">
        <v>114</v>
      </c>
      <c r="B7" s="28" t="s">
        <v>115</v>
      </c>
      <c r="C7" s="28" t="s">
        <v>116</v>
      </c>
      <c r="D7" s="28" t="s">
        <v>117</v>
      </c>
      <c r="E7" s="28" t="s">
        <v>118</v>
      </c>
      <c r="F7" s="28" t="s">
        <v>119</v>
      </c>
      <c r="G7" s="28" t="s">
        <v>120</v>
      </c>
      <c r="H7" s="28" t="s">
        <v>121</v>
      </c>
      <c r="I7" s="28" t="s">
        <v>122</v>
      </c>
      <c r="J7" s="29" t="n">
        <v>490000</v>
      </c>
      <c r="K7" s="29" t="n">
        <v>338333</v>
      </c>
      <c r="L7" s="29" t="n">
        <f aca="false">IF($J7="","",$J7-IF($K7="",0,$K7))</f>
        <v>151667</v>
      </c>
      <c r="M7" s="30" t="n">
        <v>0.6926</v>
      </c>
      <c r="N7" s="28" t="s">
        <v>123</v>
      </c>
      <c r="O7" s="28" t="s">
        <v>124</v>
      </c>
      <c r="P7" s="31" t="s">
        <v>125</v>
      </c>
      <c r="Q7" s="29" t="n">
        <v>900000</v>
      </c>
      <c r="R7" s="29" t="n">
        <v>1500000</v>
      </c>
      <c r="S7" s="32" t="n">
        <f aca="false">IF(OR($Q7="",$R7="",$R7=0),"",$Q7/$R7)</f>
        <v>0.6</v>
      </c>
      <c r="T7" s="28" t="str">
        <f aca="false">IF($S7="","",IF($S7&gt;=0.5,"PROCEDE BAJA","EVALUAR REPARACION"))</f>
        <v>PROCEDE BAJA</v>
      </c>
      <c r="U7" s="29" t="n">
        <v>0</v>
      </c>
      <c r="V7" s="28" t="s">
        <v>126</v>
      </c>
      <c r="W7" s="28" t="s">
        <v>127</v>
      </c>
      <c r="X7" s="28" t="s">
        <v>128</v>
      </c>
      <c r="Y7" s="28" t="s">
        <v>129</v>
      </c>
      <c r="Z7" s="28"/>
      <c r="AA7" s="28"/>
    </row>
    <row r="8" customFormat="false" ht="15" hidden="false" customHeight="false" outlineLevel="0" collapsed="false">
      <c r="A8" s="33"/>
      <c r="B8" s="33"/>
      <c r="C8" s="33"/>
      <c r="D8" s="33"/>
      <c r="E8" s="33"/>
      <c r="F8" s="33"/>
      <c r="G8" s="33"/>
      <c r="H8" s="33"/>
      <c r="I8" s="33"/>
      <c r="J8" s="34"/>
      <c r="K8" s="34"/>
      <c r="L8" s="35" t="str">
        <f aca="false">IF($J8="","",$J8-IF($K8="",0,$K8))</f>
        <v/>
      </c>
      <c r="M8" s="36"/>
      <c r="N8" s="33"/>
      <c r="O8" s="33"/>
      <c r="P8" s="37"/>
      <c r="Q8" s="34"/>
      <c r="R8" s="34"/>
      <c r="S8" s="38" t="str">
        <f aca="false">IF(OR($Q8="",$R8="",$R8=0),"",$Q8/$R8)</f>
        <v/>
      </c>
      <c r="T8" s="18" t="str">
        <f aca="false">IF($S8="","",IF($S8&gt;=0.5,"PROCEDE BAJA","EVALUAR REPARACION"))</f>
        <v/>
      </c>
      <c r="U8" s="34"/>
      <c r="V8" s="33"/>
      <c r="W8" s="33"/>
      <c r="X8" s="33"/>
      <c r="Y8" s="33"/>
      <c r="Z8" s="33"/>
      <c r="AA8" s="33"/>
    </row>
    <row r="9" customFormat="false" ht="15" hidden="false" customHeight="false" outlineLevel="0" collapsed="false">
      <c r="A9" s="33"/>
      <c r="B9" s="33"/>
      <c r="C9" s="33"/>
      <c r="D9" s="33"/>
      <c r="E9" s="33"/>
      <c r="F9" s="33"/>
      <c r="G9" s="33"/>
      <c r="H9" s="33"/>
      <c r="I9" s="33"/>
      <c r="J9" s="34"/>
      <c r="K9" s="34"/>
      <c r="L9" s="35" t="str">
        <f aca="false">IF($J9="","",$J9-IF($K9="",0,$K9))</f>
        <v/>
      </c>
      <c r="M9" s="36"/>
      <c r="N9" s="33"/>
      <c r="O9" s="33"/>
      <c r="P9" s="37"/>
      <c r="Q9" s="34"/>
      <c r="R9" s="34"/>
      <c r="S9" s="38" t="str">
        <f aca="false">IF(OR($Q9="",$R9="",$R9=0),"",$Q9/$R9)</f>
        <v/>
      </c>
      <c r="T9" s="18" t="str">
        <f aca="false">IF($S9="","",IF($S9&gt;=0.5,"PROCEDE BAJA","EVALUAR REPARACION"))</f>
        <v/>
      </c>
      <c r="U9" s="34"/>
      <c r="V9" s="33"/>
      <c r="W9" s="33"/>
      <c r="X9" s="33"/>
      <c r="Y9" s="33"/>
      <c r="Z9" s="33"/>
      <c r="AA9" s="33"/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3"/>
      <c r="G10" s="33"/>
      <c r="H10" s="33"/>
      <c r="I10" s="33"/>
      <c r="J10" s="34"/>
      <c r="K10" s="34"/>
      <c r="L10" s="35" t="str">
        <f aca="false">IF($J10="","",$J10-IF($K10="",0,$K10))</f>
        <v/>
      </c>
      <c r="M10" s="36"/>
      <c r="N10" s="33"/>
      <c r="O10" s="33"/>
      <c r="P10" s="37"/>
      <c r="Q10" s="34"/>
      <c r="R10" s="34"/>
      <c r="S10" s="38" t="str">
        <f aca="false">IF(OR($Q10="",$R10="",$R10=0),"",$Q10/$R10)</f>
        <v/>
      </c>
      <c r="T10" s="18" t="str">
        <f aca="false">IF($S10="","",IF($S10&gt;=0.5,"PROCEDE BAJA","EVALUAR REPARACION"))</f>
        <v/>
      </c>
      <c r="U10" s="34"/>
      <c r="V10" s="33"/>
      <c r="W10" s="33"/>
      <c r="X10" s="33"/>
      <c r="Y10" s="33"/>
      <c r="Z10" s="33"/>
      <c r="AA10" s="33"/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3"/>
      <c r="G11" s="33"/>
      <c r="H11" s="33"/>
      <c r="I11" s="33"/>
      <c r="J11" s="34"/>
      <c r="K11" s="34"/>
      <c r="L11" s="35" t="str">
        <f aca="false">IF($J11="","",$J11-IF($K11="",0,$K11))</f>
        <v/>
      </c>
      <c r="M11" s="36"/>
      <c r="N11" s="33"/>
      <c r="O11" s="33"/>
      <c r="P11" s="37"/>
      <c r="Q11" s="34"/>
      <c r="R11" s="34"/>
      <c r="S11" s="38" t="str">
        <f aca="false">IF(OR($Q11="",$R11="",$R11=0),"",$Q11/$R11)</f>
        <v/>
      </c>
      <c r="T11" s="18" t="str">
        <f aca="false">IF($S11="","",IF($S11&gt;=0.5,"PROCEDE BAJA","EVALUAR REPARACION"))</f>
        <v/>
      </c>
      <c r="U11" s="34"/>
      <c r="V11" s="33"/>
      <c r="W11" s="33"/>
      <c r="X11" s="33"/>
      <c r="Y11" s="33"/>
      <c r="Z11" s="33"/>
      <c r="AA11" s="33"/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3"/>
      <c r="G12" s="33"/>
      <c r="H12" s="33"/>
      <c r="I12" s="33"/>
      <c r="J12" s="34"/>
      <c r="K12" s="34"/>
      <c r="L12" s="35" t="str">
        <f aca="false">IF($J12="","",$J12-IF($K12="",0,$K12))</f>
        <v/>
      </c>
      <c r="M12" s="36"/>
      <c r="N12" s="33"/>
      <c r="O12" s="33"/>
      <c r="P12" s="37"/>
      <c r="Q12" s="34"/>
      <c r="R12" s="34"/>
      <c r="S12" s="38" t="str">
        <f aca="false">IF(OR($Q12="",$R12="",$R12=0),"",$Q12/$R12)</f>
        <v/>
      </c>
      <c r="T12" s="18" t="str">
        <f aca="false">IF($S12="","",IF($S12&gt;=0.5,"PROCEDE BAJA","EVALUAR REPARACION"))</f>
        <v/>
      </c>
      <c r="U12" s="34"/>
      <c r="V12" s="33"/>
      <c r="W12" s="33"/>
      <c r="X12" s="33"/>
      <c r="Y12" s="33"/>
      <c r="Z12" s="33"/>
      <c r="AA12" s="33"/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3"/>
      <c r="G13" s="33"/>
      <c r="H13" s="33"/>
      <c r="I13" s="33"/>
      <c r="J13" s="34"/>
      <c r="K13" s="34"/>
      <c r="L13" s="35" t="str">
        <f aca="false">IF($J13="","",$J13-IF($K13="",0,$K13))</f>
        <v/>
      </c>
      <c r="M13" s="36"/>
      <c r="N13" s="33"/>
      <c r="O13" s="33"/>
      <c r="P13" s="37"/>
      <c r="Q13" s="34"/>
      <c r="R13" s="34"/>
      <c r="S13" s="38" t="str">
        <f aca="false">IF(OR($Q13="",$R13="",$R13=0),"",$Q13/$R13)</f>
        <v/>
      </c>
      <c r="T13" s="18" t="str">
        <f aca="false">IF($S13="","",IF($S13&gt;=0.5,"PROCEDE BAJA","EVALUAR REPARACION"))</f>
        <v/>
      </c>
      <c r="U13" s="34"/>
      <c r="V13" s="33"/>
      <c r="W13" s="33"/>
      <c r="X13" s="33"/>
      <c r="Y13" s="33"/>
      <c r="Z13" s="33"/>
      <c r="AA13" s="33"/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3"/>
      <c r="G14" s="33"/>
      <c r="H14" s="33"/>
      <c r="I14" s="33"/>
      <c r="J14" s="34"/>
      <c r="K14" s="34"/>
      <c r="L14" s="35" t="str">
        <f aca="false">IF($J14="","",$J14-IF($K14="",0,$K14))</f>
        <v/>
      </c>
      <c r="M14" s="36"/>
      <c r="N14" s="33"/>
      <c r="O14" s="33"/>
      <c r="P14" s="37"/>
      <c r="Q14" s="34"/>
      <c r="R14" s="34"/>
      <c r="S14" s="38" t="str">
        <f aca="false">IF(OR($Q14="",$R14="",$R14=0),"",$Q14/$R14)</f>
        <v/>
      </c>
      <c r="T14" s="18" t="str">
        <f aca="false">IF($S14="","",IF($S14&gt;=0.5,"PROCEDE BAJA","EVALUAR REPARACION"))</f>
        <v/>
      </c>
      <c r="U14" s="34"/>
      <c r="V14" s="33"/>
      <c r="W14" s="33"/>
      <c r="X14" s="33"/>
      <c r="Y14" s="33"/>
      <c r="Z14" s="33"/>
      <c r="AA14" s="33"/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3"/>
      <c r="G15" s="33"/>
      <c r="H15" s="33"/>
      <c r="I15" s="33"/>
      <c r="J15" s="34"/>
      <c r="K15" s="34"/>
      <c r="L15" s="35" t="str">
        <f aca="false">IF($J15="","",$J15-IF($K15="",0,$K15))</f>
        <v/>
      </c>
      <c r="M15" s="36"/>
      <c r="N15" s="33"/>
      <c r="O15" s="33"/>
      <c r="P15" s="37"/>
      <c r="Q15" s="34"/>
      <c r="R15" s="34"/>
      <c r="S15" s="38" t="str">
        <f aca="false">IF(OR($Q15="",$R15="",$R15=0),"",$Q15/$R15)</f>
        <v/>
      </c>
      <c r="T15" s="18" t="str">
        <f aca="false">IF($S15="","",IF($S15&gt;=0.5,"PROCEDE BAJA","EVALUAR REPARACION"))</f>
        <v/>
      </c>
      <c r="U15" s="34"/>
      <c r="V15" s="33"/>
      <c r="W15" s="33"/>
      <c r="X15" s="33"/>
      <c r="Y15" s="33"/>
      <c r="Z15" s="33"/>
      <c r="AA15" s="33"/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3"/>
      <c r="G16" s="33"/>
      <c r="H16" s="33"/>
      <c r="I16" s="33"/>
      <c r="J16" s="34"/>
      <c r="K16" s="34"/>
      <c r="L16" s="35" t="str">
        <f aca="false">IF($J16="","",$J16-IF($K16="",0,$K16))</f>
        <v/>
      </c>
      <c r="M16" s="36"/>
      <c r="N16" s="33"/>
      <c r="O16" s="33"/>
      <c r="P16" s="37"/>
      <c r="Q16" s="34"/>
      <c r="R16" s="34"/>
      <c r="S16" s="38" t="str">
        <f aca="false">IF(OR($Q16="",$R16="",$R16=0),"",$Q16/$R16)</f>
        <v/>
      </c>
      <c r="T16" s="18" t="str">
        <f aca="false">IF($S16="","",IF($S16&gt;=0.5,"PROCEDE BAJA","EVALUAR REPARACION"))</f>
        <v/>
      </c>
      <c r="U16" s="34"/>
      <c r="V16" s="33"/>
      <c r="W16" s="33"/>
      <c r="X16" s="33"/>
      <c r="Y16" s="33"/>
      <c r="Z16" s="33"/>
      <c r="AA16" s="33"/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3"/>
      <c r="G17" s="33"/>
      <c r="H17" s="33"/>
      <c r="I17" s="33"/>
      <c r="J17" s="34"/>
      <c r="K17" s="34"/>
      <c r="L17" s="35" t="str">
        <f aca="false">IF($J17="","",$J17-IF($K17="",0,$K17))</f>
        <v/>
      </c>
      <c r="M17" s="36"/>
      <c r="N17" s="33"/>
      <c r="O17" s="33"/>
      <c r="P17" s="37"/>
      <c r="Q17" s="34"/>
      <c r="R17" s="34"/>
      <c r="S17" s="38" t="str">
        <f aca="false">IF(OR($Q17="",$R17="",$R17=0),"",$Q17/$R17)</f>
        <v/>
      </c>
      <c r="T17" s="18" t="str">
        <f aca="false">IF($S17="","",IF($S17&gt;=0.5,"PROCEDE BAJA","EVALUAR REPARACION"))</f>
        <v/>
      </c>
      <c r="U17" s="34"/>
      <c r="V17" s="33"/>
      <c r="W17" s="33"/>
      <c r="X17" s="33"/>
      <c r="Y17" s="33"/>
      <c r="Z17" s="33"/>
      <c r="AA17" s="33"/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3"/>
      <c r="G18" s="33"/>
      <c r="H18" s="33"/>
      <c r="I18" s="33"/>
      <c r="J18" s="34"/>
      <c r="K18" s="34"/>
      <c r="L18" s="35" t="str">
        <f aca="false">IF($J18="","",$J18-IF($K18="",0,$K18))</f>
        <v/>
      </c>
      <c r="M18" s="36"/>
      <c r="N18" s="33"/>
      <c r="O18" s="33"/>
      <c r="P18" s="37"/>
      <c r="Q18" s="34"/>
      <c r="R18" s="34"/>
      <c r="S18" s="38" t="str">
        <f aca="false">IF(OR($Q18="",$R18="",$R18=0),"",$Q18/$R18)</f>
        <v/>
      </c>
      <c r="T18" s="18" t="str">
        <f aca="false">IF($S18="","",IF($S18&gt;=0.5,"PROCEDE BAJA","EVALUAR REPARACION"))</f>
        <v/>
      </c>
      <c r="U18" s="34"/>
      <c r="V18" s="33"/>
      <c r="W18" s="33"/>
      <c r="X18" s="33"/>
      <c r="Y18" s="33"/>
      <c r="Z18" s="33"/>
      <c r="AA18" s="33"/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3"/>
      <c r="G19" s="33"/>
      <c r="H19" s="33"/>
      <c r="I19" s="33"/>
      <c r="J19" s="34"/>
      <c r="K19" s="34"/>
      <c r="L19" s="35" t="str">
        <f aca="false">IF($J19="","",$J19-IF($K19="",0,$K19))</f>
        <v/>
      </c>
      <c r="M19" s="36"/>
      <c r="N19" s="33"/>
      <c r="O19" s="33"/>
      <c r="P19" s="37"/>
      <c r="Q19" s="34"/>
      <c r="R19" s="34"/>
      <c r="S19" s="38" t="str">
        <f aca="false">IF(OR($Q19="",$R19="",$R19=0),"",$Q19/$R19)</f>
        <v/>
      </c>
      <c r="T19" s="18" t="str">
        <f aca="false">IF($S19="","",IF($S19&gt;=0.5,"PROCEDE BAJA","EVALUAR REPARACION"))</f>
        <v/>
      </c>
      <c r="U19" s="34"/>
      <c r="V19" s="33"/>
      <c r="W19" s="33"/>
      <c r="X19" s="33"/>
      <c r="Y19" s="33"/>
      <c r="Z19" s="33"/>
      <c r="AA19" s="33"/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3"/>
      <c r="G20" s="33"/>
      <c r="H20" s="33"/>
      <c r="I20" s="33"/>
      <c r="J20" s="34"/>
      <c r="K20" s="34"/>
      <c r="L20" s="35" t="str">
        <f aca="false">IF($J20="","",$J20-IF($K20="",0,$K20))</f>
        <v/>
      </c>
      <c r="M20" s="36"/>
      <c r="N20" s="33"/>
      <c r="O20" s="33"/>
      <c r="P20" s="37"/>
      <c r="Q20" s="34"/>
      <c r="R20" s="34"/>
      <c r="S20" s="38" t="str">
        <f aca="false">IF(OR($Q20="",$R20="",$R20=0),"",$Q20/$R20)</f>
        <v/>
      </c>
      <c r="T20" s="18" t="str">
        <f aca="false">IF($S20="","",IF($S20&gt;=0.5,"PROCEDE BAJA","EVALUAR REPARACION"))</f>
        <v/>
      </c>
      <c r="U20" s="34"/>
      <c r="V20" s="33"/>
      <c r="W20" s="33"/>
      <c r="X20" s="33"/>
      <c r="Y20" s="33"/>
      <c r="Z20" s="33"/>
      <c r="AA20" s="33"/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3"/>
      <c r="G21" s="33"/>
      <c r="H21" s="33"/>
      <c r="I21" s="33"/>
      <c r="J21" s="34"/>
      <c r="K21" s="34"/>
      <c r="L21" s="35" t="str">
        <f aca="false">IF($J21="","",$J21-IF($K21="",0,$K21))</f>
        <v/>
      </c>
      <c r="M21" s="36"/>
      <c r="N21" s="33"/>
      <c r="O21" s="33"/>
      <c r="P21" s="37"/>
      <c r="Q21" s="34"/>
      <c r="R21" s="34"/>
      <c r="S21" s="38" t="str">
        <f aca="false">IF(OR($Q21="",$R21="",$R21=0),"",$Q21/$R21)</f>
        <v/>
      </c>
      <c r="T21" s="18" t="str">
        <f aca="false">IF($S21="","",IF($S21&gt;=0.5,"PROCEDE BAJA","EVALUAR REPARACION"))</f>
        <v/>
      </c>
      <c r="U21" s="34"/>
      <c r="V21" s="33"/>
      <c r="W21" s="33"/>
      <c r="X21" s="33"/>
      <c r="Y21" s="33"/>
      <c r="Z21" s="33"/>
      <c r="AA21" s="33"/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3"/>
      <c r="G22" s="33"/>
      <c r="H22" s="33"/>
      <c r="I22" s="33"/>
      <c r="J22" s="34"/>
      <c r="K22" s="34"/>
      <c r="L22" s="35" t="str">
        <f aca="false">IF($J22="","",$J22-IF($K22="",0,$K22))</f>
        <v/>
      </c>
      <c r="M22" s="36"/>
      <c r="N22" s="33"/>
      <c r="O22" s="33"/>
      <c r="P22" s="37"/>
      <c r="Q22" s="34"/>
      <c r="R22" s="34"/>
      <c r="S22" s="38" t="str">
        <f aca="false">IF(OR($Q22="",$R22="",$R22=0),"",$Q22/$R22)</f>
        <v/>
      </c>
      <c r="T22" s="18" t="str">
        <f aca="false">IF($S22="","",IF($S22&gt;=0.5,"PROCEDE BAJA","EVALUAR REPARACION"))</f>
        <v/>
      </c>
      <c r="U22" s="34"/>
      <c r="V22" s="33"/>
      <c r="W22" s="33"/>
      <c r="X22" s="33"/>
      <c r="Y22" s="33"/>
      <c r="Z22" s="33"/>
      <c r="AA22" s="33"/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3"/>
      <c r="G23" s="33"/>
      <c r="H23" s="33"/>
      <c r="I23" s="33"/>
      <c r="J23" s="34"/>
      <c r="K23" s="34"/>
      <c r="L23" s="35" t="str">
        <f aca="false">IF($J23="","",$J23-IF($K23="",0,$K23))</f>
        <v/>
      </c>
      <c r="M23" s="36"/>
      <c r="N23" s="33"/>
      <c r="O23" s="33"/>
      <c r="P23" s="37"/>
      <c r="Q23" s="34"/>
      <c r="R23" s="34"/>
      <c r="S23" s="38" t="str">
        <f aca="false">IF(OR($Q23="",$R23="",$R23=0),"",$Q23/$R23)</f>
        <v/>
      </c>
      <c r="T23" s="18" t="str">
        <f aca="false">IF($S23="","",IF($S23&gt;=0.5,"PROCEDE BAJA","EVALUAR REPARACION"))</f>
        <v/>
      </c>
      <c r="U23" s="34"/>
      <c r="V23" s="33"/>
      <c r="W23" s="33"/>
      <c r="X23" s="33"/>
      <c r="Y23" s="33"/>
      <c r="Z23" s="33"/>
      <c r="AA23" s="33"/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3"/>
      <c r="G24" s="33"/>
      <c r="H24" s="33"/>
      <c r="I24" s="33"/>
      <c r="J24" s="34"/>
      <c r="K24" s="34"/>
      <c r="L24" s="35" t="str">
        <f aca="false">IF($J24="","",$J24-IF($K24="",0,$K24))</f>
        <v/>
      </c>
      <c r="M24" s="36"/>
      <c r="N24" s="33"/>
      <c r="O24" s="33"/>
      <c r="P24" s="37"/>
      <c r="Q24" s="34"/>
      <c r="R24" s="34"/>
      <c r="S24" s="38" t="str">
        <f aca="false">IF(OR($Q24="",$R24="",$R24=0),"",$Q24/$R24)</f>
        <v/>
      </c>
      <c r="T24" s="18" t="str">
        <f aca="false">IF($S24="","",IF($S24&gt;=0.5,"PROCEDE BAJA","EVALUAR REPARACION"))</f>
        <v/>
      </c>
      <c r="U24" s="34"/>
      <c r="V24" s="33"/>
      <c r="W24" s="33"/>
      <c r="X24" s="33"/>
      <c r="Y24" s="33"/>
      <c r="Z24" s="33"/>
      <c r="AA24" s="33"/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3"/>
      <c r="G25" s="33"/>
      <c r="H25" s="33"/>
      <c r="I25" s="33"/>
      <c r="J25" s="34"/>
      <c r="K25" s="34"/>
      <c r="L25" s="35" t="str">
        <f aca="false">IF($J25="","",$J25-IF($K25="",0,$K25))</f>
        <v/>
      </c>
      <c r="M25" s="36"/>
      <c r="N25" s="33"/>
      <c r="O25" s="33"/>
      <c r="P25" s="37"/>
      <c r="Q25" s="34"/>
      <c r="R25" s="34"/>
      <c r="S25" s="38" t="str">
        <f aca="false">IF(OR($Q25="",$R25="",$R25=0),"",$Q25/$R25)</f>
        <v/>
      </c>
      <c r="T25" s="18" t="str">
        <f aca="false">IF($S25="","",IF($S25&gt;=0.5,"PROCEDE BAJA","EVALUAR REPARACION"))</f>
        <v/>
      </c>
      <c r="U25" s="34"/>
      <c r="V25" s="33"/>
      <c r="W25" s="33"/>
      <c r="X25" s="33"/>
      <c r="Y25" s="33"/>
      <c r="Z25" s="33"/>
      <c r="AA25" s="33"/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3"/>
      <c r="G26" s="33"/>
      <c r="H26" s="33"/>
      <c r="I26" s="33"/>
      <c r="J26" s="34"/>
      <c r="K26" s="34"/>
      <c r="L26" s="35" t="str">
        <f aca="false">IF($J26="","",$J26-IF($K26="",0,$K26))</f>
        <v/>
      </c>
      <c r="M26" s="36"/>
      <c r="N26" s="33"/>
      <c r="O26" s="33"/>
      <c r="P26" s="37"/>
      <c r="Q26" s="34"/>
      <c r="R26" s="34"/>
      <c r="S26" s="38" t="str">
        <f aca="false">IF(OR($Q26="",$R26="",$R26=0),"",$Q26/$R26)</f>
        <v/>
      </c>
      <c r="T26" s="18" t="str">
        <f aca="false">IF($S26="","",IF($S26&gt;=0.5,"PROCEDE BAJA","EVALUAR REPARACION"))</f>
        <v/>
      </c>
      <c r="U26" s="34"/>
      <c r="V26" s="33"/>
      <c r="W26" s="33"/>
      <c r="X26" s="33"/>
      <c r="Y26" s="33"/>
      <c r="Z26" s="33"/>
      <c r="AA26" s="33"/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3"/>
      <c r="G27" s="33"/>
      <c r="H27" s="33"/>
      <c r="I27" s="33"/>
      <c r="J27" s="34"/>
      <c r="K27" s="34"/>
      <c r="L27" s="35" t="str">
        <f aca="false">IF($J27="","",$J27-IF($K27="",0,$K27))</f>
        <v/>
      </c>
      <c r="M27" s="36"/>
      <c r="N27" s="33"/>
      <c r="O27" s="33"/>
      <c r="P27" s="37"/>
      <c r="Q27" s="34"/>
      <c r="R27" s="34"/>
      <c r="S27" s="38" t="str">
        <f aca="false">IF(OR($Q27="",$R27="",$R27=0),"",$Q27/$R27)</f>
        <v/>
      </c>
      <c r="T27" s="18" t="str">
        <f aca="false">IF($S27="","",IF($S27&gt;=0.5,"PROCEDE BAJA","EVALUAR REPARACION"))</f>
        <v/>
      </c>
      <c r="U27" s="34"/>
      <c r="V27" s="33"/>
      <c r="W27" s="33"/>
      <c r="X27" s="33"/>
      <c r="Y27" s="33"/>
      <c r="Z27" s="33"/>
      <c r="AA27" s="33"/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3"/>
      <c r="G28" s="33"/>
      <c r="H28" s="33"/>
      <c r="I28" s="33"/>
      <c r="J28" s="34"/>
      <c r="K28" s="34"/>
      <c r="L28" s="35" t="str">
        <f aca="false">IF($J28="","",$J28-IF($K28="",0,$K28))</f>
        <v/>
      </c>
      <c r="M28" s="36"/>
      <c r="N28" s="33"/>
      <c r="O28" s="33"/>
      <c r="P28" s="37"/>
      <c r="Q28" s="34"/>
      <c r="R28" s="34"/>
      <c r="S28" s="38" t="str">
        <f aca="false">IF(OR($Q28="",$R28="",$R28=0),"",$Q28/$R28)</f>
        <v/>
      </c>
      <c r="T28" s="18" t="str">
        <f aca="false">IF($S28="","",IF($S28&gt;=0.5,"PROCEDE BAJA","EVALUAR REPARACION"))</f>
        <v/>
      </c>
      <c r="U28" s="34"/>
      <c r="V28" s="33"/>
      <c r="W28" s="33"/>
      <c r="X28" s="33"/>
      <c r="Y28" s="33"/>
      <c r="Z28" s="33"/>
      <c r="AA28" s="33"/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3"/>
      <c r="G29" s="33"/>
      <c r="H29" s="33"/>
      <c r="I29" s="33"/>
      <c r="J29" s="34"/>
      <c r="K29" s="34"/>
      <c r="L29" s="35" t="str">
        <f aca="false">IF($J29="","",$J29-IF($K29="",0,$K29))</f>
        <v/>
      </c>
      <c r="M29" s="36"/>
      <c r="N29" s="33"/>
      <c r="O29" s="33"/>
      <c r="P29" s="37"/>
      <c r="Q29" s="34"/>
      <c r="R29" s="34"/>
      <c r="S29" s="38" t="str">
        <f aca="false">IF(OR($Q29="",$R29="",$R29=0),"",$Q29/$R29)</f>
        <v/>
      </c>
      <c r="T29" s="18" t="str">
        <f aca="false">IF($S29="","",IF($S29&gt;=0.5,"PROCEDE BAJA","EVALUAR REPARACION"))</f>
        <v/>
      </c>
      <c r="U29" s="34"/>
      <c r="V29" s="33"/>
      <c r="W29" s="33"/>
      <c r="X29" s="33"/>
      <c r="Y29" s="33"/>
      <c r="Z29" s="33"/>
      <c r="AA29" s="33"/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3"/>
      <c r="G30" s="33"/>
      <c r="H30" s="33"/>
      <c r="I30" s="33"/>
      <c r="J30" s="34"/>
      <c r="K30" s="34"/>
      <c r="L30" s="35" t="str">
        <f aca="false">IF($J30="","",$J30-IF($K30="",0,$K30))</f>
        <v/>
      </c>
      <c r="M30" s="36"/>
      <c r="N30" s="33"/>
      <c r="O30" s="33"/>
      <c r="P30" s="37"/>
      <c r="Q30" s="34"/>
      <c r="R30" s="34"/>
      <c r="S30" s="38" t="str">
        <f aca="false">IF(OR($Q30="",$R30="",$R30=0),"",$Q30/$R30)</f>
        <v/>
      </c>
      <c r="T30" s="18" t="str">
        <f aca="false">IF($S30="","",IF($S30&gt;=0.5,"PROCEDE BAJA","EVALUAR REPARACION"))</f>
        <v/>
      </c>
      <c r="U30" s="34"/>
      <c r="V30" s="33"/>
      <c r="W30" s="33"/>
      <c r="X30" s="33"/>
      <c r="Y30" s="33"/>
      <c r="Z30" s="33"/>
      <c r="AA30" s="33"/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3"/>
      <c r="G31" s="33"/>
      <c r="H31" s="33"/>
      <c r="I31" s="33"/>
      <c r="J31" s="34"/>
      <c r="K31" s="34"/>
      <c r="L31" s="35" t="str">
        <f aca="false">IF($J31="","",$J31-IF($K31="",0,$K31))</f>
        <v/>
      </c>
      <c r="M31" s="36"/>
      <c r="N31" s="33"/>
      <c r="O31" s="33"/>
      <c r="P31" s="37"/>
      <c r="Q31" s="34"/>
      <c r="R31" s="34"/>
      <c r="S31" s="38" t="str">
        <f aca="false">IF(OR($Q31="",$R31="",$R31=0),"",$Q31/$R31)</f>
        <v/>
      </c>
      <c r="T31" s="18" t="str">
        <f aca="false">IF($S31="","",IF($S31&gt;=0.5,"PROCEDE BAJA","EVALUAR REPARACION"))</f>
        <v/>
      </c>
      <c r="U31" s="34"/>
      <c r="V31" s="33"/>
      <c r="W31" s="33"/>
      <c r="X31" s="33"/>
      <c r="Y31" s="33"/>
      <c r="Z31" s="33"/>
      <c r="AA31" s="33"/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3"/>
      <c r="G32" s="33"/>
      <c r="H32" s="33"/>
      <c r="I32" s="33"/>
      <c r="J32" s="34"/>
      <c r="K32" s="34"/>
      <c r="L32" s="35" t="str">
        <f aca="false">IF($J32="","",$J32-IF($K32="",0,$K32))</f>
        <v/>
      </c>
      <c r="M32" s="36"/>
      <c r="N32" s="33"/>
      <c r="O32" s="33"/>
      <c r="P32" s="37"/>
      <c r="Q32" s="34"/>
      <c r="R32" s="34"/>
      <c r="S32" s="38" t="str">
        <f aca="false">IF(OR($Q32="",$R32="",$R32=0),"",$Q32/$R32)</f>
        <v/>
      </c>
      <c r="T32" s="18" t="str">
        <f aca="false">IF($S32="","",IF($S32&gt;=0.5,"PROCEDE BAJA","EVALUAR REPARACION"))</f>
        <v/>
      </c>
      <c r="U32" s="34"/>
      <c r="V32" s="33"/>
      <c r="W32" s="33"/>
      <c r="X32" s="33"/>
      <c r="Y32" s="33"/>
      <c r="Z32" s="33"/>
      <c r="AA32" s="33"/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3"/>
      <c r="G33" s="33"/>
      <c r="H33" s="33"/>
      <c r="I33" s="33"/>
      <c r="J33" s="34"/>
      <c r="K33" s="34"/>
      <c r="L33" s="35" t="str">
        <f aca="false">IF($J33="","",$J33-IF($K33="",0,$K33))</f>
        <v/>
      </c>
      <c r="M33" s="36"/>
      <c r="N33" s="33"/>
      <c r="O33" s="33"/>
      <c r="P33" s="37"/>
      <c r="Q33" s="34"/>
      <c r="R33" s="34"/>
      <c r="S33" s="38" t="str">
        <f aca="false">IF(OR($Q33="",$R33="",$R33=0),"",$Q33/$R33)</f>
        <v/>
      </c>
      <c r="T33" s="18" t="str">
        <f aca="false">IF($S33="","",IF($S33&gt;=0.5,"PROCEDE BAJA","EVALUAR REPARACION"))</f>
        <v/>
      </c>
      <c r="U33" s="34"/>
      <c r="V33" s="33"/>
      <c r="W33" s="33"/>
      <c r="X33" s="33"/>
      <c r="Y33" s="33"/>
      <c r="Z33" s="33"/>
      <c r="AA33" s="33"/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3"/>
      <c r="G34" s="33"/>
      <c r="H34" s="33"/>
      <c r="I34" s="33"/>
      <c r="J34" s="34"/>
      <c r="K34" s="34"/>
      <c r="L34" s="35" t="str">
        <f aca="false">IF($J34="","",$J34-IF($K34="",0,$K34))</f>
        <v/>
      </c>
      <c r="M34" s="36"/>
      <c r="N34" s="33"/>
      <c r="O34" s="33"/>
      <c r="P34" s="37"/>
      <c r="Q34" s="34"/>
      <c r="R34" s="34"/>
      <c r="S34" s="38" t="str">
        <f aca="false">IF(OR($Q34="",$R34="",$R34=0),"",$Q34/$R34)</f>
        <v/>
      </c>
      <c r="T34" s="18" t="str">
        <f aca="false">IF($S34="","",IF($S34&gt;=0.5,"PROCEDE BAJA","EVALUAR REPARACION"))</f>
        <v/>
      </c>
      <c r="U34" s="34"/>
      <c r="V34" s="33"/>
      <c r="W34" s="33"/>
      <c r="X34" s="33"/>
      <c r="Y34" s="33"/>
      <c r="Z34" s="33"/>
      <c r="AA34" s="33"/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3"/>
      <c r="G35" s="33"/>
      <c r="H35" s="33"/>
      <c r="I35" s="33"/>
      <c r="J35" s="34"/>
      <c r="K35" s="34"/>
      <c r="L35" s="35" t="str">
        <f aca="false">IF($J35="","",$J35-IF($K35="",0,$K35))</f>
        <v/>
      </c>
      <c r="M35" s="36"/>
      <c r="N35" s="33"/>
      <c r="O35" s="33"/>
      <c r="P35" s="37"/>
      <c r="Q35" s="34"/>
      <c r="R35" s="34"/>
      <c r="S35" s="38" t="str">
        <f aca="false">IF(OR($Q35="",$R35="",$R35=0),"",$Q35/$R35)</f>
        <v/>
      </c>
      <c r="T35" s="18" t="str">
        <f aca="false">IF($S35="","",IF($S35&gt;=0.5,"PROCEDE BAJA","EVALUAR REPARACION"))</f>
        <v/>
      </c>
      <c r="U35" s="34"/>
      <c r="V35" s="33"/>
      <c r="W35" s="33"/>
      <c r="X35" s="33"/>
      <c r="Y35" s="33"/>
      <c r="Z35" s="33"/>
      <c r="AA35" s="33"/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3"/>
      <c r="G36" s="33"/>
      <c r="H36" s="33"/>
      <c r="I36" s="33"/>
      <c r="J36" s="34"/>
      <c r="K36" s="34"/>
      <c r="L36" s="35" t="str">
        <f aca="false">IF($J36="","",$J36-IF($K36="",0,$K36))</f>
        <v/>
      </c>
      <c r="M36" s="36"/>
      <c r="N36" s="33"/>
      <c r="O36" s="33"/>
      <c r="P36" s="37"/>
      <c r="Q36" s="34"/>
      <c r="R36" s="34"/>
      <c r="S36" s="38" t="str">
        <f aca="false">IF(OR($Q36="",$R36="",$R36=0),"",$Q36/$R36)</f>
        <v/>
      </c>
      <c r="T36" s="18" t="str">
        <f aca="false">IF($S36="","",IF($S36&gt;=0.5,"PROCEDE BAJA","EVALUAR REPARACION"))</f>
        <v/>
      </c>
      <c r="U36" s="34"/>
      <c r="V36" s="33"/>
      <c r="W36" s="33"/>
      <c r="X36" s="33"/>
      <c r="Y36" s="33"/>
      <c r="Z36" s="33"/>
      <c r="AA36" s="33"/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3"/>
      <c r="G37" s="33"/>
      <c r="H37" s="33"/>
      <c r="I37" s="33"/>
      <c r="J37" s="34"/>
      <c r="K37" s="34"/>
      <c r="L37" s="35" t="str">
        <f aca="false">IF($J37="","",$J37-IF($K37="",0,$K37))</f>
        <v/>
      </c>
      <c r="M37" s="36"/>
      <c r="N37" s="33"/>
      <c r="O37" s="33"/>
      <c r="P37" s="37"/>
      <c r="Q37" s="34"/>
      <c r="R37" s="34"/>
      <c r="S37" s="38" t="str">
        <f aca="false">IF(OR($Q37="",$R37="",$R37=0),"",$Q37/$R37)</f>
        <v/>
      </c>
      <c r="T37" s="18" t="str">
        <f aca="false">IF($S37="","",IF($S37&gt;=0.5,"PROCEDE BAJA","EVALUAR REPARACION"))</f>
        <v/>
      </c>
      <c r="U37" s="34"/>
      <c r="V37" s="33"/>
      <c r="W37" s="33"/>
      <c r="X37" s="33"/>
      <c r="Y37" s="33"/>
      <c r="Z37" s="33"/>
      <c r="AA37" s="33"/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3"/>
      <c r="G38" s="33"/>
      <c r="H38" s="33"/>
      <c r="I38" s="33"/>
      <c r="J38" s="34"/>
      <c r="K38" s="34"/>
      <c r="L38" s="35" t="str">
        <f aca="false">IF($J38="","",$J38-IF($K38="",0,$K38))</f>
        <v/>
      </c>
      <c r="M38" s="36"/>
      <c r="N38" s="33"/>
      <c r="O38" s="33"/>
      <c r="P38" s="37"/>
      <c r="Q38" s="34"/>
      <c r="R38" s="34"/>
      <c r="S38" s="38" t="str">
        <f aca="false">IF(OR($Q38="",$R38="",$R38=0),"",$Q38/$R38)</f>
        <v/>
      </c>
      <c r="T38" s="18" t="str">
        <f aca="false">IF($S38="","",IF($S38&gt;=0.5,"PROCEDE BAJA","EVALUAR REPARACION"))</f>
        <v/>
      </c>
      <c r="U38" s="34"/>
      <c r="V38" s="33"/>
      <c r="W38" s="33"/>
      <c r="X38" s="33"/>
      <c r="Y38" s="33"/>
      <c r="Z38" s="33"/>
      <c r="AA38" s="33"/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3"/>
      <c r="G39" s="33"/>
      <c r="H39" s="33"/>
      <c r="I39" s="33"/>
      <c r="J39" s="34"/>
      <c r="K39" s="34"/>
      <c r="L39" s="35" t="str">
        <f aca="false">IF($J39="","",$J39-IF($K39="",0,$K39))</f>
        <v/>
      </c>
      <c r="M39" s="36"/>
      <c r="N39" s="33"/>
      <c r="O39" s="33"/>
      <c r="P39" s="37"/>
      <c r="Q39" s="34"/>
      <c r="R39" s="34"/>
      <c r="S39" s="38" t="str">
        <f aca="false">IF(OR($Q39="",$R39="",$R39=0),"",$Q39/$R39)</f>
        <v/>
      </c>
      <c r="T39" s="18" t="str">
        <f aca="false">IF($S39="","",IF($S39&gt;=0.5,"PROCEDE BAJA","EVALUAR REPARACION"))</f>
        <v/>
      </c>
      <c r="U39" s="34"/>
      <c r="V39" s="33"/>
      <c r="W39" s="33"/>
      <c r="X39" s="33"/>
      <c r="Y39" s="33"/>
      <c r="Z39" s="33"/>
      <c r="AA39" s="33"/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3"/>
      <c r="G40" s="33"/>
      <c r="H40" s="33"/>
      <c r="I40" s="33"/>
      <c r="J40" s="34"/>
      <c r="K40" s="34"/>
      <c r="L40" s="35" t="str">
        <f aca="false">IF($J40="","",$J40-IF($K40="",0,$K40))</f>
        <v/>
      </c>
      <c r="M40" s="36"/>
      <c r="N40" s="33"/>
      <c r="O40" s="33"/>
      <c r="P40" s="37"/>
      <c r="Q40" s="34"/>
      <c r="R40" s="34"/>
      <c r="S40" s="38" t="str">
        <f aca="false">IF(OR($Q40="",$R40="",$R40=0),"",$Q40/$R40)</f>
        <v/>
      </c>
      <c r="T40" s="18" t="str">
        <f aca="false">IF($S40="","",IF($S40&gt;=0.5,"PROCEDE BAJA","EVALUAR REPARACION"))</f>
        <v/>
      </c>
      <c r="U40" s="34"/>
      <c r="V40" s="33"/>
      <c r="W40" s="33"/>
      <c r="X40" s="33"/>
      <c r="Y40" s="33"/>
      <c r="Z40" s="33"/>
      <c r="AA40" s="33"/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3"/>
      <c r="G41" s="33"/>
      <c r="H41" s="33"/>
      <c r="I41" s="33"/>
      <c r="J41" s="34"/>
      <c r="K41" s="34"/>
      <c r="L41" s="35" t="str">
        <f aca="false">IF($J41="","",$J41-IF($K41="",0,$K41))</f>
        <v/>
      </c>
      <c r="M41" s="36"/>
      <c r="N41" s="33"/>
      <c r="O41" s="33"/>
      <c r="P41" s="37"/>
      <c r="Q41" s="34"/>
      <c r="R41" s="34"/>
      <c r="S41" s="38" t="str">
        <f aca="false">IF(OR($Q41="",$R41="",$R41=0),"",$Q41/$R41)</f>
        <v/>
      </c>
      <c r="T41" s="18" t="str">
        <f aca="false">IF($S41="","",IF($S41&gt;=0.5,"PROCEDE BAJA","EVALUAR REPARACION"))</f>
        <v/>
      </c>
      <c r="U41" s="34"/>
      <c r="V41" s="33"/>
      <c r="W41" s="33"/>
      <c r="X41" s="33"/>
      <c r="Y41" s="33"/>
      <c r="Z41" s="33"/>
      <c r="AA41" s="33"/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3"/>
      <c r="G42" s="33"/>
      <c r="H42" s="33"/>
      <c r="I42" s="33"/>
      <c r="J42" s="34"/>
      <c r="K42" s="34"/>
      <c r="L42" s="35" t="str">
        <f aca="false">IF($J42="","",$J42-IF($K42="",0,$K42))</f>
        <v/>
      </c>
      <c r="M42" s="36"/>
      <c r="N42" s="33"/>
      <c r="O42" s="33"/>
      <c r="P42" s="37"/>
      <c r="Q42" s="34"/>
      <c r="R42" s="34"/>
      <c r="S42" s="38" t="str">
        <f aca="false">IF(OR($Q42="",$R42="",$R42=0),"",$Q42/$R42)</f>
        <v/>
      </c>
      <c r="T42" s="18" t="str">
        <f aca="false">IF($S42="","",IF($S42&gt;=0.5,"PROCEDE BAJA","EVALUAR REPARACION"))</f>
        <v/>
      </c>
      <c r="U42" s="34"/>
      <c r="V42" s="33"/>
      <c r="W42" s="33"/>
      <c r="X42" s="33"/>
      <c r="Y42" s="33"/>
      <c r="Z42" s="33"/>
      <c r="AA42" s="33"/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3"/>
      <c r="G43" s="33"/>
      <c r="H43" s="33"/>
      <c r="I43" s="33"/>
      <c r="J43" s="34"/>
      <c r="K43" s="34"/>
      <c r="L43" s="35" t="str">
        <f aca="false">IF($J43="","",$J43-IF($K43="",0,$K43))</f>
        <v/>
      </c>
      <c r="M43" s="36"/>
      <c r="N43" s="33"/>
      <c r="O43" s="33"/>
      <c r="P43" s="37"/>
      <c r="Q43" s="34"/>
      <c r="R43" s="34"/>
      <c r="S43" s="38" t="str">
        <f aca="false">IF(OR($Q43="",$R43="",$R43=0),"",$Q43/$R43)</f>
        <v/>
      </c>
      <c r="T43" s="18" t="str">
        <f aca="false">IF($S43="","",IF($S43&gt;=0.5,"PROCEDE BAJA","EVALUAR REPARACION"))</f>
        <v/>
      </c>
      <c r="U43" s="34"/>
      <c r="V43" s="33"/>
      <c r="W43" s="33"/>
      <c r="X43" s="33"/>
      <c r="Y43" s="33"/>
      <c r="Z43" s="33"/>
      <c r="AA43" s="33"/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3"/>
      <c r="G44" s="33"/>
      <c r="H44" s="33"/>
      <c r="I44" s="33"/>
      <c r="J44" s="34"/>
      <c r="K44" s="34"/>
      <c r="L44" s="35" t="str">
        <f aca="false">IF($J44="","",$J44-IF($K44="",0,$K44))</f>
        <v/>
      </c>
      <c r="M44" s="36"/>
      <c r="N44" s="33"/>
      <c r="O44" s="33"/>
      <c r="P44" s="37"/>
      <c r="Q44" s="34"/>
      <c r="R44" s="34"/>
      <c r="S44" s="38" t="str">
        <f aca="false">IF(OR($Q44="",$R44="",$R44=0),"",$Q44/$R44)</f>
        <v/>
      </c>
      <c r="T44" s="18" t="str">
        <f aca="false">IF($S44="","",IF($S44&gt;=0.5,"PROCEDE BAJA","EVALUAR REPARACION"))</f>
        <v/>
      </c>
      <c r="U44" s="34"/>
      <c r="V44" s="33"/>
      <c r="W44" s="33"/>
      <c r="X44" s="33"/>
      <c r="Y44" s="33"/>
      <c r="Z44" s="33"/>
      <c r="AA44" s="33"/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33"/>
      <c r="G45" s="33"/>
      <c r="H45" s="33"/>
      <c r="I45" s="33"/>
      <c r="J45" s="34"/>
      <c r="K45" s="34"/>
      <c r="L45" s="35" t="str">
        <f aca="false">IF($J45="","",$J45-IF($K45="",0,$K45))</f>
        <v/>
      </c>
      <c r="M45" s="36"/>
      <c r="N45" s="33"/>
      <c r="O45" s="33"/>
      <c r="P45" s="37"/>
      <c r="Q45" s="34"/>
      <c r="R45" s="34"/>
      <c r="S45" s="38" t="str">
        <f aca="false">IF(OR($Q45="",$R45="",$R45=0),"",$Q45/$R45)</f>
        <v/>
      </c>
      <c r="T45" s="18" t="str">
        <f aca="false">IF($S45="","",IF($S45&gt;=0.5,"PROCEDE BAJA","EVALUAR REPARACION"))</f>
        <v/>
      </c>
      <c r="U45" s="34"/>
      <c r="V45" s="33"/>
      <c r="W45" s="33"/>
      <c r="X45" s="33"/>
      <c r="Y45" s="33"/>
      <c r="Z45" s="33"/>
      <c r="AA45" s="33"/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3"/>
      <c r="G46" s="33"/>
      <c r="H46" s="33"/>
      <c r="I46" s="33"/>
      <c r="J46" s="34"/>
      <c r="K46" s="34"/>
      <c r="L46" s="35" t="str">
        <f aca="false">IF($J46="","",$J46-IF($K46="",0,$K46))</f>
        <v/>
      </c>
      <c r="M46" s="36"/>
      <c r="N46" s="33"/>
      <c r="O46" s="33"/>
      <c r="P46" s="37"/>
      <c r="Q46" s="34"/>
      <c r="R46" s="34"/>
      <c r="S46" s="38" t="str">
        <f aca="false">IF(OR($Q46="",$R46="",$R46=0),"",$Q46/$R46)</f>
        <v/>
      </c>
      <c r="T46" s="18" t="str">
        <f aca="false">IF($S46="","",IF($S46&gt;=0.5,"PROCEDE BAJA","EVALUAR REPARACION"))</f>
        <v/>
      </c>
      <c r="U46" s="34"/>
      <c r="V46" s="33"/>
      <c r="W46" s="33"/>
      <c r="X46" s="33"/>
      <c r="Y46" s="33"/>
      <c r="Z46" s="33"/>
      <c r="AA46" s="33"/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3"/>
      <c r="G47" s="33"/>
      <c r="H47" s="33"/>
      <c r="I47" s="33"/>
      <c r="J47" s="34"/>
      <c r="K47" s="34"/>
      <c r="L47" s="35" t="str">
        <f aca="false">IF($J47="","",$J47-IF($K47="",0,$K47))</f>
        <v/>
      </c>
      <c r="M47" s="36"/>
      <c r="N47" s="33"/>
      <c r="O47" s="33"/>
      <c r="P47" s="37"/>
      <c r="Q47" s="34"/>
      <c r="R47" s="34"/>
      <c r="S47" s="38" t="str">
        <f aca="false">IF(OR($Q47="",$R47="",$R47=0),"",$Q47/$R47)</f>
        <v/>
      </c>
      <c r="T47" s="18" t="str">
        <f aca="false">IF($S47="","",IF($S47&gt;=0.5,"PROCEDE BAJA","EVALUAR REPARACION"))</f>
        <v/>
      </c>
      <c r="U47" s="34"/>
      <c r="V47" s="33"/>
      <c r="W47" s="33"/>
      <c r="X47" s="33"/>
      <c r="Y47" s="33"/>
      <c r="Z47" s="33"/>
      <c r="AA47" s="33"/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3"/>
      <c r="G48" s="33"/>
      <c r="H48" s="33"/>
      <c r="I48" s="33"/>
      <c r="J48" s="34"/>
      <c r="K48" s="34"/>
      <c r="L48" s="35" t="str">
        <f aca="false">IF($J48="","",$J48-IF($K48="",0,$K48))</f>
        <v/>
      </c>
      <c r="M48" s="36"/>
      <c r="N48" s="33"/>
      <c r="O48" s="33"/>
      <c r="P48" s="37"/>
      <c r="Q48" s="34"/>
      <c r="R48" s="34"/>
      <c r="S48" s="38" t="str">
        <f aca="false">IF(OR($Q48="",$R48="",$R48=0),"",$Q48/$R48)</f>
        <v/>
      </c>
      <c r="T48" s="18" t="str">
        <f aca="false">IF($S48="","",IF($S48&gt;=0.5,"PROCEDE BAJA","EVALUAR REPARACION"))</f>
        <v/>
      </c>
      <c r="U48" s="34"/>
      <c r="V48" s="33"/>
      <c r="W48" s="33"/>
      <c r="X48" s="33"/>
      <c r="Y48" s="33"/>
      <c r="Z48" s="33"/>
      <c r="AA48" s="33"/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33"/>
      <c r="G49" s="33"/>
      <c r="H49" s="33"/>
      <c r="I49" s="33"/>
      <c r="J49" s="34"/>
      <c r="K49" s="34"/>
      <c r="L49" s="35" t="str">
        <f aca="false">IF($J49="","",$J49-IF($K49="",0,$K49))</f>
        <v/>
      </c>
      <c r="M49" s="36"/>
      <c r="N49" s="33"/>
      <c r="O49" s="33"/>
      <c r="P49" s="37"/>
      <c r="Q49" s="34"/>
      <c r="R49" s="34"/>
      <c r="S49" s="38" t="str">
        <f aca="false">IF(OR($Q49="",$R49="",$R49=0),"",$Q49/$R49)</f>
        <v/>
      </c>
      <c r="T49" s="18" t="str">
        <f aca="false">IF($S49="","",IF($S49&gt;=0.5,"PROCEDE BAJA","EVALUAR REPARACION"))</f>
        <v/>
      </c>
      <c r="U49" s="34"/>
      <c r="V49" s="33"/>
      <c r="W49" s="33"/>
      <c r="X49" s="33"/>
      <c r="Y49" s="33"/>
      <c r="Z49" s="33"/>
      <c r="AA49" s="33"/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3"/>
      <c r="G50" s="33"/>
      <c r="H50" s="33"/>
      <c r="I50" s="33"/>
      <c r="J50" s="34"/>
      <c r="K50" s="34"/>
      <c r="L50" s="35" t="str">
        <f aca="false">IF($J50="","",$J50-IF($K50="",0,$K50))</f>
        <v/>
      </c>
      <c r="M50" s="36"/>
      <c r="N50" s="33"/>
      <c r="O50" s="33"/>
      <c r="P50" s="37"/>
      <c r="Q50" s="34"/>
      <c r="R50" s="34"/>
      <c r="S50" s="38" t="str">
        <f aca="false">IF(OR($Q50="",$R50="",$R50=0),"",$Q50/$R50)</f>
        <v/>
      </c>
      <c r="T50" s="18" t="str">
        <f aca="false">IF($S50="","",IF($S50&gt;=0.5,"PROCEDE BAJA","EVALUAR REPARACION"))</f>
        <v/>
      </c>
      <c r="U50" s="34"/>
      <c r="V50" s="33"/>
      <c r="W50" s="33"/>
      <c r="X50" s="33"/>
      <c r="Y50" s="33"/>
      <c r="Z50" s="33"/>
      <c r="AA50" s="33"/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33"/>
      <c r="G51" s="33"/>
      <c r="H51" s="33"/>
      <c r="I51" s="33"/>
      <c r="J51" s="34"/>
      <c r="K51" s="34"/>
      <c r="L51" s="35" t="str">
        <f aca="false">IF($J51="","",$J51-IF($K51="",0,$K51))</f>
        <v/>
      </c>
      <c r="M51" s="36"/>
      <c r="N51" s="33"/>
      <c r="O51" s="33"/>
      <c r="P51" s="37"/>
      <c r="Q51" s="34"/>
      <c r="R51" s="34"/>
      <c r="S51" s="38" t="str">
        <f aca="false">IF(OR($Q51="",$R51="",$R51=0),"",$Q51/$R51)</f>
        <v/>
      </c>
      <c r="T51" s="18" t="str">
        <f aca="false">IF($S51="","",IF($S51&gt;=0.5,"PROCEDE BAJA","EVALUAR REPARACION"))</f>
        <v/>
      </c>
      <c r="U51" s="34"/>
      <c r="V51" s="33"/>
      <c r="W51" s="33"/>
      <c r="X51" s="33"/>
      <c r="Y51" s="33"/>
      <c r="Z51" s="33"/>
      <c r="AA51" s="33"/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33"/>
      <c r="G52" s="33"/>
      <c r="H52" s="33"/>
      <c r="I52" s="33"/>
      <c r="J52" s="34"/>
      <c r="K52" s="34"/>
      <c r="L52" s="35" t="str">
        <f aca="false">IF($J52="","",$J52-IF($K52="",0,$K52))</f>
        <v/>
      </c>
      <c r="M52" s="36"/>
      <c r="N52" s="33"/>
      <c r="O52" s="33"/>
      <c r="P52" s="37"/>
      <c r="Q52" s="34"/>
      <c r="R52" s="34"/>
      <c r="S52" s="38" t="str">
        <f aca="false">IF(OR($Q52="",$R52="",$R52=0),"",$Q52/$R52)</f>
        <v/>
      </c>
      <c r="T52" s="18" t="str">
        <f aca="false">IF($S52="","",IF($S52&gt;=0.5,"PROCEDE BAJA","EVALUAR REPARACION"))</f>
        <v/>
      </c>
      <c r="U52" s="34"/>
      <c r="V52" s="33"/>
      <c r="W52" s="33"/>
      <c r="X52" s="33"/>
      <c r="Y52" s="33"/>
      <c r="Z52" s="33"/>
      <c r="AA52" s="33"/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33"/>
      <c r="G53" s="33"/>
      <c r="H53" s="33"/>
      <c r="I53" s="33"/>
      <c r="J53" s="34"/>
      <c r="K53" s="34"/>
      <c r="L53" s="35" t="str">
        <f aca="false">IF($J53="","",$J53-IF($K53="",0,$K53))</f>
        <v/>
      </c>
      <c r="M53" s="36"/>
      <c r="N53" s="33"/>
      <c r="O53" s="33"/>
      <c r="P53" s="37"/>
      <c r="Q53" s="34"/>
      <c r="R53" s="34"/>
      <c r="S53" s="38" t="str">
        <f aca="false">IF(OR($Q53="",$R53="",$R53=0),"",$Q53/$R53)</f>
        <v/>
      </c>
      <c r="T53" s="18" t="str">
        <f aca="false">IF($S53="","",IF($S53&gt;=0.5,"PROCEDE BAJA","EVALUAR REPARACION"))</f>
        <v/>
      </c>
      <c r="U53" s="34"/>
      <c r="V53" s="33"/>
      <c r="W53" s="33"/>
      <c r="X53" s="33"/>
      <c r="Y53" s="33"/>
      <c r="Z53" s="33"/>
      <c r="AA53" s="33"/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33"/>
      <c r="G54" s="33"/>
      <c r="H54" s="33"/>
      <c r="I54" s="33"/>
      <c r="J54" s="34"/>
      <c r="K54" s="34"/>
      <c r="L54" s="35" t="str">
        <f aca="false">IF($J54="","",$J54-IF($K54="",0,$K54))</f>
        <v/>
      </c>
      <c r="M54" s="36"/>
      <c r="N54" s="33"/>
      <c r="O54" s="33"/>
      <c r="P54" s="37"/>
      <c r="Q54" s="34"/>
      <c r="R54" s="34"/>
      <c r="S54" s="38" t="str">
        <f aca="false">IF(OR($Q54="",$R54="",$R54=0),"",$Q54/$R54)</f>
        <v/>
      </c>
      <c r="T54" s="18" t="str">
        <f aca="false">IF($S54="","",IF($S54&gt;=0.5,"PROCEDE BAJA","EVALUAR REPARACION"))</f>
        <v/>
      </c>
      <c r="U54" s="34"/>
      <c r="V54" s="33"/>
      <c r="W54" s="33"/>
      <c r="X54" s="33"/>
      <c r="Y54" s="33"/>
      <c r="Z54" s="33"/>
      <c r="AA54" s="33"/>
    </row>
    <row r="55" customFormat="false" ht="15" hidden="false" customHeight="false" outlineLevel="0" collapsed="false">
      <c r="A55" s="33"/>
      <c r="B55" s="33"/>
      <c r="C55" s="33"/>
      <c r="D55" s="33"/>
      <c r="E55" s="33"/>
      <c r="F55" s="33"/>
      <c r="G55" s="33"/>
      <c r="H55" s="33"/>
      <c r="I55" s="33"/>
      <c r="J55" s="34"/>
      <c r="K55" s="34"/>
      <c r="L55" s="35" t="str">
        <f aca="false">IF($J55="","",$J55-IF($K55="",0,$K55))</f>
        <v/>
      </c>
      <c r="M55" s="36"/>
      <c r="N55" s="33"/>
      <c r="O55" s="33"/>
      <c r="P55" s="37"/>
      <c r="Q55" s="34"/>
      <c r="R55" s="34"/>
      <c r="S55" s="38" t="str">
        <f aca="false">IF(OR($Q55="",$R55="",$R55=0),"",$Q55/$R55)</f>
        <v/>
      </c>
      <c r="T55" s="18" t="str">
        <f aca="false">IF($S55="","",IF($S55&gt;=0.5,"PROCEDE BAJA","EVALUAR REPARACION"))</f>
        <v/>
      </c>
      <c r="U55" s="34"/>
      <c r="V55" s="33"/>
      <c r="W55" s="33"/>
      <c r="X55" s="33"/>
      <c r="Y55" s="33"/>
      <c r="Z55" s="33"/>
      <c r="AA55" s="33"/>
    </row>
    <row r="56" customFormat="false" ht="15" hidden="false" customHeight="false" outlineLevel="0" collapsed="false">
      <c r="A56" s="33"/>
      <c r="B56" s="33"/>
      <c r="C56" s="33"/>
      <c r="D56" s="33"/>
      <c r="E56" s="33"/>
      <c r="F56" s="33"/>
      <c r="G56" s="33"/>
      <c r="H56" s="33"/>
      <c r="I56" s="33"/>
      <c r="J56" s="34"/>
      <c r="K56" s="34"/>
      <c r="L56" s="35" t="str">
        <f aca="false">IF($J56="","",$J56-IF($K56="",0,$K56))</f>
        <v/>
      </c>
      <c r="M56" s="36"/>
      <c r="N56" s="33"/>
      <c r="O56" s="33"/>
      <c r="P56" s="37"/>
      <c r="Q56" s="34"/>
      <c r="R56" s="34"/>
      <c r="S56" s="38" t="str">
        <f aca="false">IF(OR($Q56="",$R56="",$R56=0),"",$Q56/$R56)</f>
        <v/>
      </c>
      <c r="T56" s="18" t="str">
        <f aca="false">IF($S56="","",IF($S56&gt;=0.5,"PROCEDE BAJA","EVALUAR REPARACION"))</f>
        <v/>
      </c>
      <c r="U56" s="34"/>
      <c r="V56" s="33"/>
      <c r="W56" s="33"/>
      <c r="X56" s="33"/>
      <c r="Y56" s="33"/>
      <c r="Z56" s="33"/>
      <c r="AA56" s="33"/>
    </row>
    <row r="57" customFormat="false" ht="15" hidden="false" customHeight="false" outlineLevel="0" collapsed="false">
      <c r="A57" s="33"/>
      <c r="B57" s="33"/>
      <c r="C57" s="33"/>
      <c r="D57" s="33"/>
      <c r="E57" s="33"/>
      <c r="F57" s="33"/>
      <c r="G57" s="33"/>
      <c r="H57" s="33"/>
      <c r="I57" s="33"/>
      <c r="J57" s="34"/>
      <c r="K57" s="34"/>
      <c r="L57" s="35" t="str">
        <f aca="false">IF($J57="","",$J57-IF($K57="",0,$K57))</f>
        <v/>
      </c>
      <c r="M57" s="36"/>
      <c r="N57" s="33"/>
      <c r="O57" s="33"/>
      <c r="P57" s="37"/>
      <c r="Q57" s="34"/>
      <c r="R57" s="34"/>
      <c r="S57" s="38" t="str">
        <f aca="false">IF(OR($Q57="",$R57="",$R57=0),"",$Q57/$R57)</f>
        <v/>
      </c>
      <c r="T57" s="18" t="str">
        <f aca="false">IF($S57="","",IF($S57&gt;=0.5,"PROCEDE BAJA","EVALUAR REPARACION"))</f>
        <v/>
      </c>
      <c r="U57" s="34"/>
      <c r="V57" s="33"/>
      <c r="W57" s="33"/>
      <c r="X57" s="33"/>
      <c r="Y57" s="33"/>
      <c r="Z57" s="33"/>
      <c r="AA57" s="33"/>
    </row>
    <row r="58" customFormat="false" ht="15" hidden="false" customHeight="false" outlineLevel="0" collapsed="false">
      <c r="A58" s="33"/>
      <c r="B58" s="33"/>
      <c r="C58" s="33"/>
      <c r="D58" s="33"/>
      <c r="E58" s="33"/>
      <c r="F58" s="33"/>
      <c r="G58" s="33"/>
      <c r="H58" s="33"/>
      <c r="I58" s="33"/>
      <c r="J58" s="34"/>
      <c r="K58" s="34"/>
      <c r="L58" s="35" t="str">
        <f aca="false">IF($J58="","",$J58-IF($K58="",0,$K58))</f>
        <v/>
      </c>
      <c r="M58" s="36"/>
      <c r="N58" s="33"/>
      <c r="O58" s="33"/>
      <c r="P58" s="37"/>
      <c r="Q58" s="34"/>
      <c r="R58" s="34"/>
      <c r="S58" s="38" t="str">
        <f aca="false">IF(OR($Q58="",$R58="",$R58=0),"",$Q58/$R58)</f>
        <v/>
      </c>
      <c r="T58" s="18" t="str">
        <f aca="false">IF($S58="","",IF($S58&gt;=0.5,"PROCEDE BAJA","EVALUAR REPARACION"))</f>
        <v/>
      </c>
      <c r="U58" s="34"/>
      <c r="V58" s="33"/>
      <c r="W58" s="33"/>
      <c r="X58" s="33"/>
      <c r="Y58" s="33"/>
      <c r="Z58" s="33"/>
      <c r="AA58" s="33"/>
    </row>
    <row r="59" customFormat="false" ht="15" hidden="false" customHeight="false" outlineLevel="0" collapsed="false">
      <c r="A59" s="33"/>
      <c r="B59" s="33"/>
      <c r="C59" s="33"/>
      <c r="D59" s="33"/>
      <c r="E59" s="33"/>
      <c r="F59" s="33"/>
      <c r="G59" s="33"/>
      <c r="H59" s="33"/>
      <c r="I59" s="33"/>
      <c r="J59" s="34"/>
      <c r="K59" s="34"/>
      <c r="L59" s="35" t="str">
        <f aca="false">IF($J59="","",$J59-IF($K59="",0,$K59))</f>
        <v/>
      </c>
      <c r="M59" s="36"/>
      <c r="N59" s="33"/>
      <c r="O59" s="33"/>
      <c r="P59" s="37"/>
      <c r="Q59" s="34"/>
      <c r="R59" s="34"/>
      <c r="S59" s="38" t="str">
        <f aca="false">IF(OR($Q59="",$R59="",$R59=0),"",$Q59/$R59)</f>
        <v/>
      </c>
      <c r="T59" s="18" t="str">
        <f aca="false">IF($S59="","",IF($S59&gt;=0.5,"PROCEDE BAJA","EVALUAR REPARACION"))</f>
        <v/>
      </c>
      <c r="U59" s="34"/>
      <c r="V59" s="33"/>
      <c r="W59" s="33"/>
      <c r="X59" s="33"/>
      <c r="Y59" s="33"/>
      <c r="Z59" s="33"/>
      <c r="AA59" s="33"/>
    </row>
    <row r="60" customFormat="false" ht="15" hidden="false" customHeight="false" outlineLevel="0" collapsed="false">
      <c r="A60" s="33"/>
      <c r="B60" s="33"/>
      <c r="C60" s="33"/>
      <c r="D60" s="33"/>
      <c r="E60" s="33"/>
      <c r="F60" s="33"/>
      <c r="G60" s="33"/>
      <c r="H60" s="33"/>
      <c r="I60" s="33"/>
      <c r="J60" s="34"/>
      <c r="K60" s="34"/>
      <c r="L60" s="35" t="str">
        <f aca="false">IF($J60="","",$J60-IF($K60="",0,$K60))</f>
        <v/>
      </c>
      <c r="M60" s="36"/>
      <c r="N60" s="33"/>
      <c r="O60" s="33"/>
      <c r="P60" s="37"/>
      <c r="Q60" s="34"/>
      <c r="R60" s="34"/>
      <c r="S60" s="38" t="str">
        <f aca="false">IF(OR($Q60="",$R60="",$R60=0),"",$Q60/$R60)</f>
        <v/>
      </c>
      <c r="T60" s="18" t="str">
        <f aca="false">IF($S60="","",IF($S60&gt;=0.5,"PROCEDE BAJA","EVALUAR REPARACION"))</f>
        <v/>
      </c>
      <c r="U60" s="34"/>
      <c r="V60" s="33"/>
      <c r="W60" s="33"/>
      <c r="X60" s="33"/>
      <c r="Y60" s="33"/>
      <c r="Z60" s="33"/>
      <c r="AA60" s="33"/>
    </row>
    <row r="61" customFormat="false" ht="15" hidden="false" customHeight="false" outlineLevel="0" collapsed="false">
      <c r="A61" s="33"/>
      <c r="B61" s="33"/>
      <c r="C61" s="33"/>
      <c r="D61" s="33"/>
      <c r="E61" s="33"/>
      <c r="F61" s="33"/>
      <c r="G61" s="33"/>
      <c r="H61" s="33"/>
      <c r="I61" s="33"/>
      <c r="J61" s="34"/>
      <c r="K61" s="34"/>
      <c r="L61" s="35" t="str">
        <f aca="false">IF($J61="","",$J61-IF($K61="",0,$K61))</f>
        <v/>
      </c>
      <c r="M61" s="36"/>
      <c r="N61" s="33"/>
      <c r="O61" s="33"/>
      <c r="P61" s="37"/>
      <c r="Q61" s="34"/>
      <c r="R61" s="34"/>
      <c r="S61" s="38" t="str">
        <f aca="false">IF(OR($Q61="",$R61="",$R61=0),"",$Q61/$R61)</f>
        <v/>
      </c>
      <c r="T61" s="18" t="str">
        <f aca="false">IF($S61="","",IF($S61&gt;=0.5,"PROCEDE BAJA","EVALUAR REPARACION"))</f>
        <v/>
      </c>
      <c r="U61" s="34"/>
      <c r="V61" s="33"/>
      <c r="W61" s="33"/>
      <c r="X61" s="33"/>
      <c r="Y61" s="33"/>
      <c r="Z61" s="33"/>
      <c r="AA61" s="33"/>
    </row>
    <row r="62" customFormat="false" ht="15" hidden="false" customHeight="false" outlineLevel="0" collapsed="false">
      <c r="A62" s="33"/>
      <c r="B62" s="33"/>
      <c r="C62" s="33"/>
      <c r="D62" s="33"/>
      <c r="E62" s="33"/>
      <c r="F62" s="33"/>
      <c r="G62" s="33"/>
      <c r="H62" s="33"/>
      <c r="I62" s="33"/>
      <c r="J62" s="34"/>
      <c r="K62" s="34"/>
      <c r="L62" s="35" t="str">
        <f aca="false">IF($J62="","",$J62-IF($K62="",0,$K62))</f>
        <v/>
      </c>
      <c r="M62" s="36"/>
      <c r="N62" s="33"/>
      <c r="O62" s="33"/>
      <c r="P62" s="37"/>
      <c r="Q62" s="34"/>
      <c r="R62" s="34"/>
      <c r="S62" s="38" t="str">
        <f aca="false">IF(OR($Q62="",$R62="",$R62=0),"",$Q62/$R62)</f>
        <v/>
      </c>
      <c r="T62" s="18" t="str">
        <f aca="false">IF($S62="","",IF($S62&gt;=0.5,"PROCEDE BAJA","EVALUAR REPARACION"))</f>
        <v/>
      </c>
      <c r="U62" s="34"/>
      <c r="V62" s="33"/>
      <c r="W62" s="33"/>
      <c r="X62" s="33"/>
      <c r="Y62" s="33"/>
      <c r="Z62" s="33"/>
      <c r="AA62" s="33"/>
    </row>
    <row r="63" customFormat="false" ht="15" hidden="false" customHeight="false" outlineLevel="0" collapsed="false">
      <c r="A63" s="33"/>
      <c r="B63" s="33"/>
      <c r="C63" s="33"/>
      <c r="D63" s="33"/>
      <c r="E63" s="33"/>
      <c r="F63" s="33"/>
      <c r="G63" s="33"/>
      <c r="H63" s="33"/>
      <c r="I63" s="33"/>
      <c r="J63" s="34"/>
      <c r="K63" s="34"/>
      <c r="L63" s="35" t="str">
        <f aca="false">IF($J63="","",$J63-IF($K63="",0,$K63))</f>
        <v/>
      </c>
      <c r="M63" s="36"/>
      <c r="N63" s="33"/>
      <c r="O63" s="33"/>
      <c r="P63" s="37"/>
      <c r="Q63" s="34"/>
      <c r="R63" s="34"/>
      <c r="S63" s="38" t="str">
        <f aca="false">IF(OR($Q63="",$R63="",$R63=0),"",$Q63/$R63)</f>
        <v/>
      </c>
      <c r="T63" s="18" t="str">
        <f aca="false">IF($S63="","",IF($S63&gt;=0.5,"PROCEDE BAJA","EVALUAR REPARACION"))</f>
        <v/>
      </c>
      <c r="U63" s="34"/>
      <c r="V63" s="33"/>
      <c r="W63" s="33"/>
      <c r="X63" s="33"/>
      <c r="Y63" s="33"/>
      <c r="Z63" s="33"/>
      <c r="AA63" s="33"/>
    </row>
    <row r="64" customFormat="false" ht="15" hidden="false" customHeight="false" outlineLevel="0" collapsed="false">
      <c r="A64" s="33"/>
      <c r="B64" s="33"/>
      <c r="C64" s="33"/>
      <c r="D64" s="33"/>
      <c r="E64" s="33"/>
      <c r="F64" s="33"/>
      <c r="G64" s="33"/>
      <c r="H64" s="33"/>
      <c r="I64" s="33"/>
      <c r="J64" s="34"/>
      <c r="K64" s="34"/>
      <c r="L64" s="35" t="str">
        <f aca="false">IF($J64="","",$J64-IF($K64="",0,$K64))</f>
        <v/>
      </c>
      <c r="M64" s="36"/>
      <c r="N64" s="33"/>
      <c r="O64" s="33"/>
      <c r="P64" s="37"/>
      <c r="Q64" s="34"/>
      <c r="R64" s="34"/>
      <c r="S64" s="38" t="str">
        <f aca="false">IF(OR($Q64="",$R64="",$R64=0),"",$Q64/$R64)</f>
        <v/>
      </c>
      <c r="T64" s="18" t="str">
        <f aca="false">IF($S64="","",IF($S64&gt;=0.5,"PROCEDE BAJA","EVALUAR REPARACION"))</f>
        <v/>
      </c>
      <c r="U64" s="34"/>
      <c r="V64" s="33"/>
      <c r="W64" s="33"/>
      <c r="X64" s="33"/>
      <c r="Y64" s="33"/>
      <c r="Z64" s="33"/>
      <c r="AA64" s="33"/>
    </row>
    <row r="65" customFormat="false" ht="15" hidden="false" customHeight="false" outlineLevel="0" collapsed="false">
      <c r="A65" s="33"/>
      <c r="B65" s="33"/>
      <c r="C65" s="33"/>
      <c r="D65" s="33"/>
      <c r="E65" s="33"/>
      <c r="F65" s="33"/>
      <c r="G65" s="33"/>
      <c r="H65" s="33"/>
      <c r="I65" s="33"/>
      <c r="J65" s="34"/>
      <c r="K65" s="34"/>
      <c r="L65" s="35" t="str">
        <f aca="false">IF($J65="","",$J65-IF($K65="",0,$K65))</f>
        <v/>
      </c>
      <c r="M65" s="36"/>
      <c r="N65" s="33"/>
      <c r="O65" s="33"/>
      <c r="P65" s="37"/>
      <c r="Q65" s="34"/>
      <c r="R65" s="34"/>
      <c r="S65" s="38" t="str">
        <f aca="false">IF(OR($Q65="",$R65="",$R65=0),"",$Q65/$R65)</f>
        <v/>
      </c>
      <c r="T65" s="18" t="str">
        <f aca="false">IF($S65="","",IF($S65&gt;=0.5,"PROCEDE BAJA","EVALUAR REPARACION"))</f>
        <v/>
      </c>
      <c r="U65" s="34"/>
      <c r="V65" s="33"/>
      <c r="W65" s="33"/>
      <c r="X65" s="33"/>
      <c r="Y65" s="33"/>
      <c r="Z65" s="33"/>
      <c r="AA65" s="33"/>
    </row>
    <row r="66" customFormat="false" ht="15" hidden="false" customHeight="false" outlineLevel="0" collapsed="false">
      <c r="A66" s="33"/>
      <c r="B66" s="33"/>
      <c r="C66" s="33"/>
      <c r="D66" s="33"/>
      <c r="E66" s="33"/>
      <c r="F66" s="33"/>
      <c r="G66" s="33"/>
      <c r="H66" s="33"/>
      <c r="I66" s="33"/>
      <c r="J66" s="34"/>
      <c r="K66" s="34"/>
      <c r="L66" s="35" t="str">
        <f aca="false">IF($J66="","",$J66-IF($K66="",0,$K66))</f>
        <v/>
      </c>
      <c r="M66" s="36"/>
      <c r="N66" s="33"/>
      <c r="O66" s="33"/>
      <c r="P66" s="37"/>
      <c r="Q66" s="34"/>
      <c r="R66" s="34"/>
      <c r="S66" s="38" t="str">
        <f aca="false">IF(OR($Q66="",$R66="",$R66=0),"",$Q66/$R66)</f>
        <v/>
      </c>
      <c r="T66" s="18" t="str">
        <f aca="false">IF($S66="","",IF($S66&gt;=0.5,"PROCEDE BAJA","EVALUAR REPARACION"))</f>
        <v/>
      </c>
      <c r="U66" s="34"/>
      <c r="V66" s="33"/>
      <c r="W66" s="33"/>
      <c r="X66" s="33"/>
      <c r="Y66" s="33"/>
      <c r="Z66" s="33"/>
      <c r="AA66" s="33"/>
    </row>
    <row r="67" customFormat="false" ht="15" hidden="false" customHeight="false" outlineLevel="0" collapsed="false">
      <c r="A67" s="33"/>
      <c r="B67" s="33"/>
      <c r="C67" s="33"/>
      <c r="D67" s="33"/>
      <c r="E67" s="33"/>
      <c r="F67" s="33"/>
      <c r="G67" s="33"/>
      <c r="H67" s="33"/>
      <c r="I67" s="33"/>
      <c r="J67" s="34"/>
      <c r="K67" s="34"/>
      <c r="L67" s="35" t="str">
        <f aca="false">IF($J67="","",$J67-IF($K67="",0,$K67))</f>
        <v/>
      </c>
      <c r="M67" s="36"/>
      <c r="N67" s="33"/>
      <c r="O67" s="33"/>
      <c r="P67" s="37"/>
      <c r="Q67" s="34"/>
      <c r="R67" s="34"/>
      <c r="S67" s="38" t="str">
        <f aca="false">IF(OR($Q67="",$R67="",$R67=0),"",$Q67/$R67)</f>
        <v/>
      </c>
      <c r="T67" s="18" t="str">
        <f aca="false">IF($S67="","",IF($S67&gt;=0.5,"PROCEDE BAJA","EVALUAR REPARACION"))</f>
        <v/>
      </c>
      <c r="U67" s="34"/>
      <c r="V67" s="33"/>
      <c r="W67" s="33"/>
      <c r="X67" s="33"/>
      <c r="Y67" s="33"/>
      <c r="Z67" s="33"/>
      <c r="AA67" s="33"/>
    </row>
    <row r="68" customFormat="false" ht="15" hidden="false" customHeight="false" outlineLevel="0" collapsed="false">
      <c r="A68" s="33"/>
      <c r="B68" s="33"/>
      <c r="C68" s="33"/>
      <c r="D68" s="33"/>
      <c r="E68" s="33"/>
      <c r="F68" s="33"/>
      <c r="G68" s="33"/>
      <c r="H68" s="33"/>
      <c r="I68" s="33"/>
      <c r="J68" s="34"/>
      <c r="K68" s="34"/>
      <c r="L68" s="35" t="str">
        <f aca="false">IF($J68="","",$J68-IF($K68="",0,$K68))</f>
        <v/>
      </c>
      <c r="M68" s="36"/>
      <c r="N68" s="33"/>
      <c r="O68" s="33"/>
      <c r="P68" s="37"/>
      <c r="Q68" s="34"/>
      <c r="R68" s="34"/>
      <c r="S68" s="38" t="str">
        <f aca="false">IF(OR($Q68="",$R68="",$R68=0),"",$Q68/$R68)</f>
        <v/>
      </c>
      <c r="T68" s="18" t="str">
        <f aca="false">IF($S68="","",IF($S68&gt;=0.5,"PROCEDE BAJA","EVALUAR REPARACION"))</f>
        <v/>
      </c>
      <c r="U68" s="34"/>
      <c r="V68" s="33"/>
      <c r="W68" s="33"/>
      <c r="X68" s="33"/>
      <c r="Y68" s="33"/>
      <c r="Z68" s="33"/>
      <c r="AA68" s="33"/>
    </row>
    <row r="69" customFormat="false" ht="15" hidden="false" customHeight="false" outlineLevel="0" collapsed="false">
      <c r="A69" s="33"/>
      <c r="B69" s="33"/>
      <c r="C69" s="33"/>
      <c r="D69" s="33"/>
      <c r="E69" s="33"/>
      <c r="F69" s="33"/>
      <c r="G69" s="33"/>
      <c r="H69" s="33"/>
      <c r="I69" s="33"/>
      <c r="J69" s="34"/>
      <c r="K69" s="34"/>
      <c r="L69" s="35" t="str">
        <f aca="false">IF($J69="","",$J69-IF($K69="",0,$K69))</f>
        <v/>
      </c>
      <c r="M69" s="36"/>
      <c r="N69" s="33"/>
      <c r="O69" s="33"/>
      <c r="P69" s="37"/>
      <c r="Q69" s="34"/>
      <c r="R69" s="34"/>
      <c r="S69" s="38" t="str">
        <f aca="false">IF(OR($Q69="",$R69="",$R69=0),"",$Q69/$R69)</f>
        <v/>
      </c>
      <c r="T69" s="18" t="str">
        <f aca="false">IF($S69="","",IF($S69&gt;=0.5,"PROCEDE BAJA","EVALUAR REPARACION"))</f>
        <v/>
      </c>
      <c r="U69" s="34"/>
      <c r="V69" s="33"/>
      <c r="W69" s="33"/>
      <c r="X69" s="33"/>
      <c r="Y69" s="33"/>
      <c r="Z69" s="33"/>
      <c r="AA69" s="33"/>
    </row>
    <row r="70" customFormat="false" ht="15" hidden="false" customHeight="false" outlineLevel="0" collapsed="false">
      <c r="A70" s="33"/>
      <c r="B70" s="33"/>
      <c r="C70" s="33"/>
      <c r="D70" s="33"/>
      <c r="E70" s="33"/>
      <c r="F70" s="33"/>
      <c r="G70" s="33"/>
      <c r="H70" s="33"/>
      <c r="I70" s="33"/>
      <c r="J70" s="34"/>
      <c r="K70" s="34"/>
      <c r="L70" s="35" t="str">
        <f aca="false">IF($J70="","",$J70-IF($K70="",0,$K70))</f>
        <v/>
      </c>
      <c r="M70" s="36"/>
      <c r="N70" s="33"/>
      <c r="O70" s="33"/>
      <c r="P70" s="37"/>
      <c r="Q70" s="34"/>
      <c r="R70" s="34"/>
      <c r="S70" s="38" t="str">
        <f aca="false">IF(OR($Q70="",$R70="",$R70=0),"",$Q70/$R70)</f>
        <v/>
      </c>
      <c r="T70" s="18" t="str">
        <f aca="false">IF($S70="","",IF($S70&gt;=0.5,"PROCEDE BAJA","EVALUAR REPARACION"))</f>
        <v/>
      </c>
      <c r="U70" s="34"/>
      <c r="V70" s="33"/>
      <c r="W70" s="33"/>
      <c r="X70" s="33"/>
      <c r="Y70" s="33"/>
      <c r="Z70" s="33"/>
      <c r="AA70" s="33"/>
    </row>
    <row r="71" customFormat="false" ht="15" hidden="false" customHeight="false" outlineLevel="0" collapsed="false">
      <c r="A71" s="33"/>
      <c r="B71" s="33"/>
      <c r="C71" s="33"/>
      <c r="D71" s="33"/>
      <c r="E71" s="33"/>
      <c r="F71" s="33"/>
      <c r="G71" s="33"/>
      <c r="H71" s="33"/>
      <c r="I71" s="33"/>
      <c r="J71" s="34"/>
      <c r="K71" s="34"/>
      <c r="L71" s="35" t="str">
        <f aca="false">IF($J71="","",$J71-IF($K71="",0,$K71))</f>
        <v/>
      </c>
      <c r="M71" s="36"/>
      <c r="N71" s="33"/>
      <c r="O71" s="33"/>
      <c r="P71" s="37"/>
      <c r="Q71" s="34"/>
      <c r="R71" s="34"/>
      <c r="S71" s="38" t="str">
        <f aca="false">IF(OR($Q71="",$R71="",$R71=0),"",$Q71/$R71)</f>
        <v/>
      </c>
      <c r="T71" s="18" t="str">
        <f aca="false">IF($S71="","",IF($S71&gt;=0.5,"PROCEDE BAJA","EVALUAR REPARACION"))</f>
        <v/>
      </c>
      <c r="U71" s="34"/>
      <c r="V71" s="33"/>
      <c r="W71" s="33"/>
      <c r="X71" s="33"/>
      <c r="Y71" s="33"/>
      <c r="Z71" s="33"/>
      <c r="AA71" s="33"/>
    </row>
    <row r="72" customFormat="false" ht="15" hidden="false" customHeight="false" outlineLevel="0" collapsed="false">
      <c r="A72" s="33"/>
      <c r="B72" s="33"/>
      <c r="C72" s="33"/>
      <c r="D72" s="33"/>
      <c r="E72" s="33"/>
      <c r="F72" s="33"/>
      <c r="G72" s="33"/>
      <c r="H72" s="33"/>
      <c r="I72" s="33"/>
      <c r="J72" s="34"/>
      <c r="K72" s="34"/>
      <c r="L72" s="35" t="str">
        <f aca="false">IF($J72="","",$J72-IF($K72="",0,$K72))</f>
        <v/>
      </c>
      <c r="M72" s="36"/>
      <c r="N72" s="33"/>
      <c r="O72" s="33"/>
      <c r="P72" s="37"/>
      <c r="Q72" s="34"/>
      <c r="R72" s="34"/>
      <c r="S72" s="38" t="str">
        <f aca="false">IF(OR($Q72="",$R72="",$R72=0),"",$Q72/$R72)</f>
        <v/>
      </c>
      <c r="T72" s="18" t="str">
        <f aca="false">IF($S72="","",IF($S72&gt;=0.5,"PROCEDE BAJA","EVALUAR REPARACION"))</f>
        <v/>
      </c>
      <c r="U72" s="34"/>
      <c r="V72" s="33"/>
      <c r="W72" s="33"/>
      <c r="X72" s="33"/>
      <c r="Y72" s="33"/>
      <c r="Z72" s="33"/>
      <c r="AA72" s="33"/>
    </row>
    <row r="73" customFormat="false" ht="15" hidden="false" customHeight="false" outlineLevel="0" collapsed="false">
      <c r="A73" s="33"/>
      <c r="B73" s="33"/>
      <c r="C73" s="33"/>
      <c r="D73" s="33"/>
      <c r="E73" s="33"/>
      <c r="F73" s="33"/>
      <c r="G73" s="33"/>
      <c r="H73" s="33"/>
      <c r="I73" s="33"/>
      <c r="J73" s="34"/>
      <c r="K73" s="34"/>
      <c r="L73" s="35" t="str">
        <f aca="false">IF($J73="","",$J73-IF($K73="",0,$K73))</f>
        <v/>
      </c>
      <c r="M73" s="36"/>
      <c r="N73" s="33"/>
      <c r="O73" s="33"/>
      <c r="P73" s="37"/>
      <c r="Q73" s="34"/>
      <c r="R73" s="34"/>
      <c r="S73" s="38" t="str">
        <f aca="false">IF(OR($Q73="",$R73="",$R73=0),"",$Q73/$R73)</f>
        <v/>
      </c>
      <c r="T73" s="18" t="str">
        <f aca="false">IF($S73="","",IF($S73&gt;=0.5,"PROCEDE BAJA","EVALUAR REPARACION"))</f>
        <v/>
      </c>
      <c r="U73" s="34"/>
      <c r="V73" s="33"/>
      <c r="W73" s="33"/>
      <c r="X73" s="33"/>
      <c r="Y73" s="33"/>
      <c r="Z73" s="33"/>
      <c r="AA73" s="33"/>
    </row>
    <row r="74" customFormat="false" ht="15" hidden="false" customHeight="false" outlineLevel="0" collapsed="false">
      <c r="A74" s="33"/>
      <c r="B74" s="33"/>
      <c r="C74" s="33"/>
      <c r="D74" s="33"/>
      <c r="E74" s="33"/>
      <c r="F74" s="33"/>
      <c r="G74" s="33"/>
      <c r="H74" s="33"/>
      <c r="I74" s="33"/>
      <c r="J74" s="34"/>
      <c r="K74" s="34"/>
      <c r="L74" s="35" t="str">
        <f aca="false">IF($J74="","",$J74-IF($K74="",0,$K74))</f>
        <v/>
      </c>
      <c r="M74" s="36"/>
      <c r="N74" s="33"/>
      <c r="O74" s="33"/>
      <c r="P74" s="37"/>
      <c r="Q74" s="34"/>
      <c r="R74" s="34"/>
      <c r="S74" s="38" t="str">
        <f aca="false">IF(OR($Q74="",$R74="",$R74=0),"",$Q74/$R74)</f>
        <v/>
      </c>
      <c r="T74" s="18" t="str">
        <f aca="false">IF($S74="","",IF($S74&gt;=0.5,"PROCEDE BAJA","EVALUAR REPARACION"))</f>
        <v/>
      </c>
      <c r="U74" s="34"/>
      <c r="V74" s="33"/>
      <c r="W74" s="33"/>
      <c r="X74" s="33"/>
      <c r="Y74" s="33"/>
      <c r="Z74" s="33"/>
      <c r="AA74" s="33"/>
    </row>
    <row r="75" customFormat="false" ht="15" hidden="false" customHeight="false" outlineLevel="0" collapsed="false">
      <c r="A75" s="33"/>
      <c r="B75" s="33"/>
      <c r="C75" s="33"/>
      <c r="D75" s="33"/>
      <c r="E75" s="33"/>
      <c r="F75" s="33"/>
      <c r="G75" s="33"/>
      <c r="H75" s="33"/>
      <c r="I75" s="33"/>
      <c r="J75" s="34"/>
      <c r="K75" s="34"/>
      <c r="L75" s="35" t="str">
        <f aca="false">IF($J75="","",$J75-IF($K75="",0,$K75))</f>
        <v/>
      </c>
      <c r="M75" s="36"/>
      <c r="N75" s="33"/>
      <c r="O75" s="33"/>
      <c r="P75" s="37"/>
      <c r="Q75" s="34"/>
      <c r="R75" s="34"/>
      <c r="S75" s="38" t="str">
        <f aca="false">IF(OR($Q75="",$R75="",$R75=0),"",$Q75/$R75)</f>
        <v/>
      </c>
      <c r="T75" s="18" t="str">
        <f aca="false">IF($S75="","",IF($S75&gt;=0.5,"PROCEDE BAJA","EVALUAR REPARACION"))</f>
        <v/>
      </c>
      <c r="U75" s="34"/>
      <c r="V75" s="33"/>
      <c r="W75" s="33"/>
      <c r="X75" s="33"/>
      <c r="Y75" s="33"/>
      <c r="Z75" s="33"/>
      <c r="AA75" s="33"/>
    </row>
    <row r="76" customFormat="false" ht="15" hidden="false" customHeight="false" outlineLevel="0" collapsed="false">
      <c r="A76" s="33"/>
      <c r="B76" s="33"/>
      <c r="C76" s="33"/>
      <c r="D76" s="33"/>
      <c r="E76" s="33"/>
      <c r="F76" s="33"/>
      <c r="G76" s="33"/>
      <c r="H76" s="33"/>
      <c r="I76" s="33"/>
      <c r="J76" s="34"/>
      <c r="K76" s="34"/>
      <c r="L76" s="35" t="str">
        <f aca="false">IF($J76="","",$J76-IF($K76="",0,$K76))</f>
        <v/>
      </c>
      <c r="M76" s="36"/>
      <c r="N76" s="33"/>
      <c r="O76" s="33"/>
      <c r="P76" s="37"/>
      <c r="Q76" s="34"/>
      <c r="R76" s="34"/>
      <c r="S76" s="38" t="str">
        <f aca="false">IF(OR($Q76="",$R76="",$R76=0),"",$Q76/$R76)</f>
        <v/>
      </c>
      <c r="T76" s="18" t="str">
        <f aca="false">IF($S76="","",IF($S76&gt;=0.5,"PROCEDE BAJA","EVALUAR REPARACION"))</f>
        <v/>
      </c>
      <c r="U76" s="34"/>
      <c r="V76" s="33"/>
      <c r="W76" s="33"/>
      <c r="X76" s="33"/>
      <c r="Y76" s="33"/>
      <c r="Z76" s="33"/>
      <c r="AA76" s="33"/>
    </row>
    <row r="77" customFormat="false" ht="15" hidden="false" customHeight="false" outlineLevel="0" collapsed="false">
      <c r="A77" s="33"/>
      <c r="B77" s="33"/>
      <c r="C77" s="33"/>
      <c r="D77" s="33"/>
      <c r="E77" s="33"/>
      <c r="F77" s="33"/>
      <c r="G77" s="33"/>
      <c r="H77" s="33"/>
      <c r="I77" s="33"/>
      <c r="J77" s="34"/>
      <c r="K77" s="34"/>
      <c r="L77" s="35" t="str">
        <f aca="false">IF($J77="","",$J77-IF($K77="",0,$K77))</f>
        <v/>
      </c>
      <c r="M77" s="36"/>
      <c r="N77" s="33"/>
      <c r="O77" s="33"/>
      <c r="P77" s="37"/>
      <c r="Q77" s="34"/>
      <c r="R77" s="34"/>
      <c r="S77" s="38" t="str">
        <f aca="false">IF(OR($Q77="",$R77="",$R77=0),"",$Q77/$R77)</f>
        <v/>
      </c>
      <c r="T77" s="18" t="str">
        <f aca="false">IF($S77="","",IF($S77&gt;=0.5,"PROCEDE BAJA","EVALUAR REPARACION"))</f>
        <v/>
      </c>
      <c r="U77" s="34"/>
      <c r="V77" s="33"/>
      <c r="W77" s="33"/>
      <c r="X77" s="33"/>
      <c r="Y77" s="33"/>
      <c r="Z77" s="33"/>
      <c r="AA77" s="33"/>
    </row>
    <row r="78" customFormat="false" ht="15" hidden="false" customHeight="false" outlineLevel="0" collapsed="false">
      <c r="A78" s="33"/>
      <c r="B78" s="33"/>
      <c r="C78" s="33"/>
      <c r="D78" s="33"/>
      <c r="E78" s="33"/>
      <c r="F78" s="33"/>
      <c r="G78" s="33"/>
      <c r="H78" s="33"/>
      <c r="I78" s="33"/>
      <c r="J78" s="34"/>
      <c r="K78" s="34"/>
      <c r="L78" s="35" t="str">
        <f aca="false">IF($J78="","",$J78-IF($K78="",0,$K78))</f>
        <v/>
      </c>
      <c r="M78" s="36"/>
      <c r="N78" s="33"/>
      <c r="O78" s="33"/>
      <c r="P78" s="37"/>
      <c r="Q78" s="34"/>
      <c r="R78" s="34"/>
      <c r="S78" s="38" t="str">
        <f aca="false">IF(OR($Q78="",$R78="",$R78=0),"",$Q78/$R78)</f>
        <v/>
      </c>
      <c r="T78" s="18" t="str">
        <f aca="false">IF($S78="","",IF($S78&gt;=0.5,"PROCEDE BAJA","EVALUAR REPARACION"))</f>
        <v/>
      </c>
      <c r="U78" s="34"/>
      <c r="V78" s="33"/>
      <c r="W78" s="33"/>
      <c r="X78" s="33"/>
      <c r="Y78" s="33"/>
      <c r="Z78" s="33"/>
      <c r="AA78" s="33"/>
    </row>
    <row r="79" customFormat="false" ht="15" hidden="false" customHeight="false" outlineLevel="0" collapsed="false">
      <c r="A79" s="33"/>
      <c r="B79" s="33"/>
      <c r="C79" s="33"/>
      <c r="D79" s="33"/>
      <c r="E79" s="33"/>
      <c r="F79" s="33"/>
      <c r="G79" s="33"/>
      <c r="H79" s="33"/>
      <c r="I79" s="33"/>
      <c r="J79" s="34"/>
      <c r="K79" s="34"/>
      <c r="L79" s="35" t="str">
        <f aca="false">IF($J79="","",$J79-IF($K79="",0,$K79))</f>
        <v/>
      </c>
      <c r="M79" s="36"/>
      <c r="N79" s="33"/>
      <c r="O79" s="33"/>
      <c r="P79" s="37"/>
      <c r="Q79" s="34"/>
      <c r="R79" s="34"/>
      <c r="S79" s="38" t="str">
        <f aca="false">IF(OR($Q79="",$R79="",$R79=0),"",$Q79/$R79)</f>
        <v/>
      </c>
      <c r="T79" s="18" t="str">
        <f aca="false">IF($S79="","",IF($S79&gt;=0.5,"PROCEDE BAJA","EVALUAR REPARACION"))</f>
        <v/>
      </c>
      <c r="U79" s="34"/>
      <c r="V79" s="33"/>
      <c r="W79" s="33"/>
      <c r="X79" s="33"/>
      <c r="Y79" s="33"/>
      <c r="Z79" s="33"/>
      <c r="AA79" s="33"/>
    </row>
    <row r="80" customFormat="false" ht="15" hidden="false" customHeight="false" outlineLevel="0" collapsed="false">
      <c r="A80" s="33"/>
      <c r="B80" s="33"/>
      <c r="C80" s="33"/>
      <c r="D80" s="33"/>
      <c r="E80" s="33"/>
      <c r="F80" s="33"/>
      <c r="G80" s="33"/>
      <c r="H80" s="33"/>
      <c r="I80" s="33"/>
      <c r="J80" s="34"/>
      <c r="K80" s="34"/>
      <c r="L80" s="35" t="str">
        <f aca="false">IF($J80="","",$J80-IF($K80="",0,$K80))</f>
        <v/>
      </c>
      <c r="M80" s="36"/>
      <c r="N80" s="33"/>
      <c r="O80" s="33"/>
      <c r="P80" s="37"/>
      <c r="Q80" s="34"/>
      <c r="R80" s="34"/>
      <c r="S80" s="38" t="str">
        <f aca="false">IF(OR($Q80="",$R80="",$R80=0),"",$Q80/$R80)</f>
        <v/>
      </c>
      <c r="T80" s="18" t="str">
        <f aca="false">IF($S80="","",IF($S80&gt;=0.5,"PROCEDE BAJA","EVALUAR REPARACION"))</f>
        <v/>
      </c>
      <c r="U80" s="34"/>
      <c r="V80" s="33"/>
      <c r="W80" s="33"/>
      <c r="X80" s="33"/>
      <c r="Y80" s="33"/>
      <c r="Z80" s="33"/>
      <c r="AA80" s="33"/>
    </row>
    <row r="81" customFormat="false" ht="15" hidden="false" customHeight="false" outlineLevel="0" collapsed="false">
      <c r="A81" s="33"/>
      <c r="B81" s="33"/>
      <c r="C81" s="33"/>
      <c r="D81" s="33"/>
      <c r="E81" s="33"/>
      <c r="F81" s="33"/>
      <c r="G81" s="33"/>
      <c r="H81" s="33"/>
      <c r="I81" s="33"/>
      <c r="J81" s="34"/>
      <c r="K81" s="34"/>
      <c r="L81" s="35" t="str">
        <f aca="false">IF($J81="","",$J81-IF($K81="",0,$K81))</f>
        <v/>
      </c>
      <c r="M81" s="36"/>
      <c r="N81" s="33"/>
      <c r="O81" s="33"/>
      <c r="P81" s="37"/>
      <c r="Q81" s="34"/>
      <c r="R81" s="34"/>
      <c r="S81" s="38" t="str">
        <f aca="false">IF(OR($Q81="",$R81="",$R81=0),"",$Q81/$R81)</f>
        <v/>
      </c>
      <c r="T81" s="18" t="str">
        <f aca="false">IF($S81="","",IF($S81&gt;=0.5,"PROCEDE BAJA","EVALUAR REPARACION"))</f>
        <v/>
      </c>
      <c r="U81" s="34"/>
      <c r="V81" s="33"/>
      <c r="W81" s="33"/>
      <c r="X81" s="33"/>
      <c r="Y81" s="33"/>
      <c r="Z81" s="33"/>
      <c r="AA81" s="33"/>
    </row>
    <row r="82" customFormat="false" ht="15" hidden="false" customHeight="false" outlineLevel="0" collapsed="false">
      <c r="A82" s="33"/>
      <c r="B82" s="33"/>
      <c r="C82" s="33"/>
      <c r="D82" s="33"/>
      <c r="E82" s="33"/>
      <c r="F82" s="33"/>
      <c r="G82" s="33"/>
      <c r="H82" s="33"/>
      <c r="I82" s="33"/>
      <c r="J82" s="34"/>
      <c r="K82" s="34"/>
      <c r="L82" s="35" t="str">
        <f aca="false">IF($J82="","",$J82-IF($K82="",0,$K82))</f>
        <v/>
      </c>
      <c r="M82" s="36"/>
      <c r="N82" s="33"/>
      <c r="O82" s="33"/>
      <c r="P82" s="37"/>
      <c r="Q82" s="34"/>
      <c r="R82" s="34"/>
      <c r="S82" s="38" t="str">
        <f aca="false">IF(OR($Q82="",$R82="",$R82=0),"",$Q82/$R82)</f>
        <v/>
      </c>
      <c r="T82" s="18" t="str">
        <f aca="false">IF($S82="","",IF($S82&gt;=0.5,"PROCEDE BAJA","EVALUAR REPARACION"))</f>
        <v/>
      </c>
      <c r="U82" s="34"/>
      <c r="V82" s="33"/>
      <c r="W82" s="33"/>
      <c r="X82" s="33"/>
      <c r="Y82" s="33"/>
      <c r="Z82" s="33"/>
      <c r="AA82" s="33"/>
    </row>
    <row r="83" customFormat="false" ht="15" hidden="false" customHeight="false" outlineLevel="0" collapsed="false">
      <c r="A83" s="33"/>
      <c r="B83" s="33"/>
      <c r="C83" s="33"/>
      <c r="D83" s="33"/>
      <c r="E83" s="33"/>
      <c r="F83" s="33"/>
      <c r="G83" s="33"/>
      <c r="H83" s="33"/>
      <c r="I83" s="33"/>
      <c r="J83" s="34"/>
      <c r="K83" s="34"/>
      <c r="L83" s="35" t="str">
        <f aca="false">IF($J83="","",$J83-IF($K83="",0,$K83))</f>
        <v/>
      </c>
      <c r="M83" s="36"/>
      <c r="N83" s="33"/>
      <c r="O83" s="33"/>
      <c r="P83" s="37"/>
      <c r="Q83" s="34"/>
      <c r="R83" s="34"/>
      <c r="S83" s="38" t="str">
        <f aca="false">IF(OR($Q83="",$R83="",$R83=0),"",$Q83/$R83)</f>
        <v/>
      </c>
      <c r="T83" s="18" t="str">
        <f aca="false">IF($S83="","",IF($S83&gt;=0.5,"PROCEDE BAJA","EVALUAR REPARACION"))</f>
        <v/>
      </c>
      <c r="U83" s="34"/>
      <c r="V83" s="33"/>
      <c r="W83" s="33"/>
      <c r="X83" s="33"/>
      <c r="Y83" s="33"/>
      <c r="Z83" s="33"/>
      <c r="AA83" s="33"/>
    </row>
    <row r="84" customFormat="false" ht="15" hidden="false" customHeight="false" outlineLevel="0" collapsed="false">
      <c r="A84" s="33"/>
      <c r="B84" s="33"/>
      <c r="C84" s="33"/>
      <c r="D84" s="33"/>
      <c r="E84" s="33"/>
      <c r="F84" s="33"/>
      <c r="G84" s="33"/>
      <c r="H84" s="33"/>
      <c r="I84" s="33"/>
      <c r="J84" s="34"/>
      <c r="K84" s="34"/>
      <c r="L84" s="35" t="str">
        <f aca="false">IF($J84="","",$J84-IF($K84="",0,$K84))</f>
        <v/>
      </c>
      <c r="M84" s="36"/>
      <c r="N84" s="33"/>
      <c r="O84" s="33"/>
      <c r="P84" s="37"/>
      <c r="Q84" s="34"/>
      <c r="R84" s="34"/>
      <c r="S84" s="38" t="str">
        <f aca="false">IF(OR($Q84="",$R84="",$R84=0),"",$Q84/$R84)</f>
        <v/>
      </c>
      <c r="T84" s="18" t="str">
        <f aca="false">IF($S84="","",IF($S84&gt;=0.5,"PROCEDE BAJA","EVALUAR REPARACION"))</f>
        <v/>
      </c>
      <c r="U84" s="34"/>
      <c r="V84" s="33"/>
      <c r="W84" s="33"/>
      <c r="X84" s="33"/>
      <c r="Y84" s="33"/>
      <c r="Z84" s="33"/>
      <c r="AA84" s="33"/>
    </row>
    <row r="85" customFormat="false" ht="15" hidden="false" customHeight="false" outlineLevel="0" collapsed="false">
      <c r="A85" s="33"/>
      <c r="B85" s="33"/>
      <c r="C85" s="33"/>
      <c r="D85" s="33"/>
      <c r="E85" s="33"/>
      <c r="F85" s="33"/>
      <c r="G85" s="33"/>
      <c r="H85" s="33"/>
      <c r="I85" s="33"/>
      <c r="J85" s="34"/>
      <c r="K85" s="34"/>
      <c r="L85" s="35" t="str">
        <f aca="false">IF($J85="","",$J85-IF($K85="",0,$K85))</f>
        <v/>
      </c>
      <c r="M85" s="36"/>
      <c r="N85" s="33"/>
      <c r="O85" s="33"/>
      <c r="P85" s="37"/>
      <c r="Q85" s="34"/>
      <c r="R85" s="34"/>
      <c r="S85" s="38" t="str">
        <f aca="false">IF(OR($Q85="",$R85="",$R85=0),"",$Q85/$R85)</f>
        <v/>
      </c>
      <c r="T85" s="18" t="str">
        <f aca="false">IF($S85="","",IF($S85&gt;=0.5,"PROCEDE BAJA","EVALUAR REPARACION"))</f>
        <v/>
      </c>
      <c r="U85" s="34"/>
      <c r="V85" s="33"/>
      <c r="W85" s="33"/>
      <c r="X85" s="33"/>
      <c r="Y85" s="33"/>
      <c r="Z85" s="33"/>
      <c r="AA85" s="33"/>
    </row>
    <row r="86" customFormat="false" ht="15" hidden="false" customHeight="false" outlineLevel="0" collapsed="false">
      <c r="A86" s="33"/>
      <c r="B86" s="33"/>
      <c r="C86" s="33"/>
      <c r="D86" s="33"/>
      <c r="E86" s="33"/>
      <c r="F86" s="33"/>
      <c r="G86" s="33"/>
      <c r="H86" s="33"/>
      <c r="I86" s="33"/>
      <c r="J86" s="34"/>
      <c r="K86" s="34"/>
      <c r="L86" s="35" t="str">
        <f aca="false">IF($J86="","",$J86-IF($K86="",0,$K86))</f>
        <v/>
      </c>
      <c r="M86" s="36"/>
      <c r="N86" s="33"/>
      <c r="O86" s="33"/>
      <c r="P86" s="37"/>
      <c r="Q86" s="34"/>
      <c r="R86" s="34"/>
      <c r="S86" s="38" t="str">
        <f aca="false">IF(OR($Q86="",$R86="",$R86=0),"",$Q86/$R86)</f>
        <v/>
      </c>
      <c r="T86" s="18" t="str">
        <f aca="false">IF($S86="","",IF($S86&gt;=0.5,"PROCEDE BAJA","EVALUAR REPARACION"))</f>
        <v/>
      </c>
      <c r="U86" s="34"/>
      <c r="V86" s="33"/>
      <c r="W86" s="33"/>
      <c r="X86" s="33"/>
      <c r="Y86" s="33"/>
      <c r="Z86" s="33"/>
      <c r="AA86" s="33"/>
    </row>
    <row r="87" customFormat="false" ht="15" hidden="false" customHeight="false" outlineLevel="0" collapsed="false">
      <c r="A87" s="33"/>
      <c r="B87" s="33"/>
      <c r="C87" s="33"/>
      <c r="D87" s="33"/>
      <c r="E87" s="33"/>
      <c r="F87" s="33"/>
      <c r="G87" s="33"/>
      <c r="H87" s="33"/>
      <c r="I87" s="33"/>
      <c r="J87" s="34"/>
      <c r="K87" s="34"/>
      <c r="L87" s="35" t="str">
        <f aca="false">IF($J87="","",$J87-IF($K87="",0,$K87))</f>
        <v/>
      </c>
      <c r="M87" s="36"/>
      <c r="N87" s="33"/>
      <c r="O87" s="33"/>
      <c r="P87" s="37"/>
      <c r="Q87" s="34"/>
      <c r="R87" s="34"/>
      <c r="S87" s="38" t="str">
        <f aca="false">IF(OR($Q87="",$R87="",$R87=0),"",$Q87/$R87)</f>
        <v/>
      </c>
      <c r="T87" s="18" t="str">
        <f aca="false">IF($S87="","",IF($S87&gt;=0.5,"PROCEDE BAJA","EVALUAR REPARACION"))</f>
        <v/>
      </c>
      <c r="U87" s="34"/>
      <c r="V87" s="33"/>
      <c r="W87" s="33"/>
      <c r="X87" s="33"/>
      <c r="Y87" s="33"/>
      <c r="Z87" s="33"/>
      <c r="AA87" s="33"/>
    </row>
    <row r="88" customFormat="false" ht="15" hidden="false" customHeight="false" outlineLevel="0" collapsed="false">
      <c r="A88" s="33"/>
      <c r="B88" s="33"/>
      <c r="C88" s="33"/>
      <c r="D88" s="33"/>
      <c r="E88" s="33"/>
      <c r="F88" s="33"/>
      <c r="G88" s="33"/>
      <c r="H88" s="33"/>
      <c r="I88" s="33"/>
      <c r="J88" s="34"/>
      <c r="K88" s="34"/>
      <c r="L88" s="35" t="str">
        <f aca="false">IF($J88="","",$J88-IF($K88="",0,$K88))</f>
        <v/>
      </c>
      <c r="M88" s="36"/>
      <c r="N88" s="33"/>
      <c r="O88" s="33"/>
      <c r="P88" s="37"/>
      <c r="Q88" s="34"/>
      <c r="R88" s="34"/>
      <c r="S88" s="38" t="str">
        <f aca="false">IF(OR($Q88="",$R88="",$R88=0),"",$Q88/$R88)</f>
        <v/>
      </c>
      <c r="T88" s="18" t="str">
        <f aca="false">IF($S88="","",IF($S88&gt;=0.5,"PROCEDE BAJA","EVALUAR REPARACION"))</f>
        <v/>
      </c>
      <c r="U88" s="34"/>
      <c r="V88" s="33"/>
      <c r="W88" s="33"/>
      <c r="X88" s="33"/>
      <c r="Y88" s="33"/>
      <c r="Z88" s="33"/>
      <c r="AA88" s="33"/>
    </row>
    <row r="89" customFormat="false" ht="15" hidden="false" customHeight="false" outlineLevel="0" collapsed="false">
      <c r="A89" s="33"/>
      <c r="B89" s="33"/>
      <c r="C89" s="33"/>
      <c r="D89" s="33"/>
      <c r="E89" s="33"/>
      <c r="F89" s="33"/>
      <c r="G89" s="33"/>
      <c r="H89" s="33"/>
      <c r="I89" s="33"/>
      <c r="J89" s="34"/>
      <c r="K89" s="34"/>
      <c r="L89" s="35" t="str">
        <f aca="false">IF($J89="","",$J89-IF($K89="",0,$K89))</f>
        <v/>
      </c>
      <c r="M89" s="36"/>
      <c r="N89" s="33"/>
      <c r="O89" s="33"/>
      <c r="P89" s="37"/>
      <c r="Q89" s="34"/>
      <c r="R89" s="34"/>
      <c r="S89" s="38" t="str">
        <f aca="false">IF(OR($Q89="",$R89="",$R89=0),"",$Q89/$R89)</f>
        <v/>
      </c>
      <c r="T89" s="18" t="str">
        <f aca="false">IF($S89="","",IF($S89&gt;=0.5,"PROCEDE BAJA","EVALUAR REPARACION"))</f>
        <v/>
      </c>
      <c r="U89" s="34"/>
      <c r="V89" s="33"/>
      <c r="W89" s="33"/>
      <c r="X89" s="33"/>
      <c r="Y89" s="33"/>
      <c r="Z89" s="33"/>
      <c r="AA89" s="33"/>
    </row>
    <row r="90" customFormat="false" ht="15" hidden="false" customHeight="false" outlineLevel="0" collapsed="false">
      <c r="A90" s="33"/>
      <c r="B90" s="33"/>
      <c r="C90" s="33"/>
      <c r="D90" s="33"/>
      <c r="E90" s="33"/>
      <c r="F90" s="33"/>
      <c r="G90" s="33"/>
      <c r="H90" s="33"/>
      <c r="I90" s="33"/>
      <c r="J90" s="34"/>
      <c r="K90" s="34"/>
      <c r="L90" s="35" t="str">
        <f aca="false">IF($J90="","",$J90-IF($K90="",0,$K90))</f>
        <v/>
      </c>
      <c r="M90" s="36"/>
      <c r="N90" s="33"/>
      <c r="O90" s="33"/>
      <c r="P90" s="37"/>
      <c r="Q90" s="34"/>
      <c r="R90" s="34"/>
      <c r="S90" s="38" t="str">
        <f aca="false">IF(OR($Q90="",$R90="",$R90=0),"",$Q90/$R90)</f>
        <v/>
      </c>
      <c r="T90" s="18" t="str">
        <f aca="false">IF($S90="","",IF($S90&gt;=0.5,"PROCEDE BAJA","EVALUAR REPARACION"))</f>
        <v/>
      </c>
      <c r="U90" s="34"/>
      <c r="V90" s="33"/>
      <c r="W90" s="33"/>
      <c r="X90" s="33"/>
      <c r="Y90" s="33"/>
      <c r="Z90" s="33"/>
      <c r="AA90" s="33"/>
    </row>
    <row r="91" customFormat="false" ht="15" hidden="false" customHeight="false" outlineLevel="0" collapsed="false">
      <c r="A91" s="33"/>
      <c r="B91" s="33"/>
      <c r="C91" s="33"/>
      <c r="D91" s="33"/>
      <c r="E91" s="33"/>
      <c r="F91" s="33"/>
      <c r="G91" s="33"/>
      <c r="H91" s="33"/>
      <c r="I91" s="33"/>
      <c r="J91" s="34"/>
      <c r="K91" s="34"/>
      <c r="L91" s="35" t="str">
        <f aca="false">IF($J91="","",$J91-IF($K91="",0,$K91))</f>
        <v/>
      </c>
      <c r="M91" s="36"/>
      <c r="N91" s="33"/>
      <c r="O91" s="33"/>
      <c r="P91" s="37"/>
      <c r="Q91" s="34"/>
      <c r="R91" s="34"/>
      <c r="S91" s="38" t="str">
        <f aca="false">IF(OR($Q91="",$R91="",$R91=0),"",$Q91/$R91)</f>
        <v/>
      </c>
      <c r="T91" s="18" t="str">
        <f aca="false">IF($S91="","",IF($S91&gt;=0.5,"PROCEDE BAJA","EVALUAR REPARACION"))</f>
        <v/>
      </c>
      <c r="U91" s="34"/>
      <c r="V91" s="33"/>
      <c r="W91" s="33"/>
      <c r="X91" s="33"/>
      <c r="Y91" s="33"/>
      <c r="Z91" s="33"/>
      <c r="AA91" s="33"/>
    </row>
    <row r="92" customFormat="false" ht="15" hidden="false" customHeight="false" outlineLevel="0" collapsed="false">
      <c r="A92" s="33"/>
      <c r="B92" s="33"/>
      <c r="C92" s="33"/>
      <c r="D92" s="33"/>
      <c r="E92" s="33"/>
      <c r="F92" s="33"/>
      <c r="G92" s="33"/>
      <c r="H92" s="33"/>
      <c r="I92" s="33"/>
      <c r="J92" s="34"/>
      <c r="K92" s="34"/>
      <c r="L92" s="35" t="str">
        <f aca="false">IF($J92="","",$J92-IF($K92="",0,$K92))</f>
        <v/>
      </c>
      <c r="M92" s="36"/>
      <c r="N92" s="33"/>
      <c r="O92" s="33"/>
      <c r="P92" s="37"/>
      <c r="Q92" s="34"/>
      <c r="R92" s="34"/>
      <c r="S92" s="38" t="str">
        <f aca="false">IF(OR($Q92="",$R92="",$R92=0),"",$Q92/$R92)</f>
        <v/>
      </c>
      <c r="T92" s="18" t="str">
        <f aca="false">IF($S92="","",IF($S92&gt;=0.5,"PROCEDE BAJA","EVALUAR REPARACION"))</f>
        <v/>
      </c>
      <c r="U92" s="34"/>
      <c r="V92" s="33"/>
      <c r="W92" s="33"/>
      <c r="X92" s="33"/>
      <c r="Y92" s="33"/>
      <c r="Z92" s="33"/>
      <c r="AA92" s="33"/>
    </row>
    <row r="93" customFormat="false" ht="15" hidden="false" customHeight="false" outlineLevel="0" collapsed="false">
      <c r="A93" s="33"/>
      <c r="B93" s="33"/>
      <c r="C93" s="33"/>
      <c r="D93" s="33"/>
      <c r="E93" s="33"/>
      <c r="F93" s="33"/>
      <c r="G93" s="33"/>
      <c r="H93" s="33"/>
      <c r="I93" s="33"/>
      <c r="J93" s="34"/>
      <c r="K93" s="34"/>
      <c r="L93" s="35" t="str">
        <f aca="false">IF($J93="","",$J93-IF($K93="",0,$K93))</f>
        <v/>
      </c>
      <c r="M93" s="36"/>
      <c r="N93" s="33"/>
      <c r="O93" s="33"/>
      <c r="P93" s="37"/>
      <c r="Q93" s="34"/>
      <c r="R93" s="34"/>
      <c r="S93" s="38" t="str">
        <f aca="false">IF(OR($Q93="",$R93="",$R93=0),"",$Q93/$R93)</f>
        <v/>
      </c>
      <c r="T93" s="18" t="str">
        <f aca="false">IF($S93="","",IF($S93&gt;=0.5,"PROCEDE BAJA","EVALUAR REPARACION"))</f>
        <v/>
      </c>
      <c r="U93" s="34"/>
      <c r="V93" s="33"/>
      <c r="W93" s="33"/>
      <c r="X93" s="33"/>
      <c r="Y93" s="33"/>
      <c r="Z93" s="33"/>
      <c r="AA93" s="33"/>
    </row>
    <row r="94" customFormat="false" ht="15" hidden="false" customHeight="false" outlineLevel="0" collapsed="false">
      <c r="A94" s="33"/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35" t="str">
        <f aca="false">IF($J94="","",$J94-IF($K94="",0,$K94))</f>
        <v/>
      </c>
      <c r="M94" s="36"/>
      <c r="N94" s="33"/>
      <c r="O94" s="33"/>
      <c r="P94" s="37"/>
      <c r="Q94" s="34"/>
      <c r="R94" s="34"/>
      <c r="S94" s="38" t="str">
        <f aca="false">IF(OR($Q94="",$R94="",$R94=0),"",$Q94/$R94)</f>
        <v/>
      </c>
      <c r="T94" s="18" t="str">
        <f aca="false">IF($S94="","",IF($S94&gt;=0.5,"PROCEDE BAJA","EVALUAR REPARACION"))</f>
        <v/>
      </c>
      <c r="U94" s="34"/>
      <c r="V94" s="33"/>
      <c r="W94" s="33"/>
      <c r="X94" s="33"/>
      <c r="Y94" s="33"/>
      <c r="Z94" s="33"/>
      <c r="AA94" s="33"/>
    </row>
    <row r="95" customFormat="false" ht="15" hidden="false" customHeight="false" outlineLevel="0" collapsed="false">
      <c r="A95" s="33"/>
      <c r="B95" s="33"/>
      <c r="C95" s="33"/>
      <c r="D95" s="33"/>
      <c r="E95" s="33"/>
      <c r="F95" s="33"/>
      <c r="G95" s="33"/>
      <c r="H95" s="33"/>
      <c r="I95" s="33"/>
      <c r="J95" s="34"/>
      <c r="K95" s="34"/>
      <c r="L95" s="35" t="str">
        <f aca="false">IF($J95="","",$J95-IF($K95="",0,$K95))</f>
        <v/>
      </c>
      <c r="M95" s="36"/>
      <c r="N95" s="33"/>
      <c r="O95" s="33"/>
      <c r="P95" s="37"/>
      <c r="Q95" s="34"/>
      <c r="R95" s="34"/>
      <c r="S95" s="38" t="str">
        <f aca="false">IF(OR($Q95="",$R95="",$R95=0),"",$Q95/$R95)</f>
        <v/>
      </c>
      <c r="T95" s="18" t="str">
        <f aca="false">IF($S95="","",IF($S95&gt;=0.5,"PROCEDE BAJA","EVALUAR REPARACION"))</f>
        <v/>
      </c>
      <c r="U95" s="34"/>
      <c r="V95" s="33"/>
      <c r="W95" s="33"/>
      <c r="X95" s="33"/>
      <c r="Y95" s="33"/>
      <c r="Z95" s="33"/>
      <c r="AA95" s="33"/>
    </row>
    <row r="96" customFormat="false" ht="15" hidden="false" customHeight="false" outlineLevel="0" collapsed="false">
      <c r="A96" s="33"/>
      <c r="B96" s="33"/>
      <c r="C96" s="33"/>
      <c r="D96" s="33"/>
      <c r="E96" s="33"/>
      <c r="F96" s="33"/>
      <c r="G96" s="33"/>
      <c r="H96" s="33"/>
      <c r="I96" s="33"/>
      <c r="J96" s="34"/>
      <c r="K96" s="34"/>
      <c r="L96" s="35" t="str">
        <f aca="false">IF($J96="","",$J96-IF($K96="",0,$K96))</f>
        <v/>
      </c>
      <c r="M96" s="36"/>
      <c r="N96" s="33"/>
      <c r="O96" s="33"/>
      <c r="P96" s="37"/>
      <c r="Q96" s="34"/>
      <c r="R96" s="34"/>
      <c r="S96" s="38" t="str">
        <f aca="false">IF(OR($Q96="",$R96="",$R96=0),"",$Q96/$R96)</f>
        <v/>
      </c>
      <c r="T96" s="18" t="str">
        <f aca="false">IF($S96="","",IF($S96&gt;=0.5,"PROCEDE BAJA","EVALUAR REPARACION"))</f>
        <v/>
      </c>
      <c r="U96" s="34"/>
      <c r="V96" s="33"/>
      <c r="W96" s="33"/>
      <c r="X96" s="33"/>
      <c r="Y96" s="33"/>
      <c r="Z96" s="33"/>
      <c r="AA96" s="33"/>
    </row>
    <row r="97" customFormat="false" ht="15" hidden="false" customHeight="false" outlineLevel="0" collapsed="false">
      <c r="A97" s="33"/>
      <c r="B97" s="33"/>
      <c r="C97" s="33"/>
      <c r="D97" s="33"/>
      <c r="E97" s="33"/>
      <c r="F97" s="33"/>
      <c r="G97" s="33"/>
      <c r="H97" s="33"/>
      <c r="I97" s="33"/>
      <c r="J97" s="34"/>
      <c r="K97" s="34"/>
      <c r="L97" s="35" t="str">
        <f aca="false">IF($J97="","",$J97-IF($K97="",0,$K97))</f>
        <v/>
      </c>
      <c r="M97" s="36"/>
      <c r="N97" s="33"/>
      <c r="O97" s="33"/>
      <c r="P97" s="37"/>
      <c r="Q97" s="34"/>
      <c r="R97" s="34"/>
      <c r="S97" s="38" t="str">
        <f aca="false">IF(OR($Q97="",$R97="",$R97=0),"",$Q97/$R97)</f>
        <v/>
      </c>
      <c r="T97" s="18" t="str">
        <f aca="false">IF($S97="","",IF($S97&gt;=0.5,"PROCEDE BAJA","EVALUAR REPARACION"))</f>
        <v/>
      </c>
      <c r="U97" s="34"/>
      <c r="V97" s="33"/>
      <c r="W97" s="33"/>
      <c r="X97" s="33"/>
      <c r="Y97" s="33"/>
      <c r="Z97" s="33"/>
      <c r="AA97" s="33"/>
    </row>
    <row r="98" customFormat="false" ht="15" hidden="false" customHeight="false" outlineLevel="0" collapsed="false">
      <c r="A98" s="33"/>
      <c r="B98" s="33"/>
      <c r="C98" s="33"/>
      <c r="D98" s="33"/>
      <c r="E98" s="33"/>
      <c r="F98" s="33"/>
      <c r="G98" s="33"/>
      <c r="H98" s="33"/>
      <c r="I98" s="33"/>
      <c r="J98" s="34"/>
      <c r="K98" s="34"/>
      <c r="L98" s="35" t="str">
        <f aca="false">IF($J98="","",$J98-IF($K98="",0,$K98))</f>
        <v/>
      </c>
      <c r="M98" s="36"/>
      <c r="N98" s="33"/>
      <c r="O98" s="33"/>
      <c r="P98" s="37"/>
      <c r="Q98" s="34"/>
      <c r="R98" s="34"/>
      <c r="S98" s="38" t="str">
        <f aca="false">IF(OR($Q98="",$R98="",$R98=0),"",$Q98/$R98)</f>
        <v/>
      </c>
      <c r="T98" s="18" t="str">
        <f aca="false">IF($S98="","",IF($S98&gt;=0.5,"PROCEDE BAJA","EVALUAR REPARACION"))</f>
        <v/>
      </c>
      <c r="U98" s="34"/>
      <c r="V98" s="33"/>
      <c r="W98" s="33"/>
      <c r="X98" s="33"/>
      <c r="Y98" s="33"/>
      <c r="Z98" s="33"/>
      <c r="AA98" s="33"/>
    </row>
    <row r="99" customFormat="false" ht="15" hidden="false" customHeight="false" outlineLevel="0" collapsed="false">
      <c r="A99" s="33"/>
      <c r="B99" s="33"/>
      <c r="C99" s="33"/>
      <c r="D99" s="33"/>
      <c r="E99" s="33"/>
      <c r="F99" s="33"/>
      <c r="G99" s="33"/>
      <c r="H99" s="33"/>
      <c r="I99" s="33"/>
      <c r="J99" s="34"/>
      <c r="K99" s="34"/>
      <c r="L99" s="35" t="str">
        <f aca="false">IF($J99="","",$J99-IF($K99="",0,$K99))</f>
        <v/>
      </c>
      <c r="M99" s="36"/>
      <c r="N99" s="33"/>
      <c r="O99" s="33"/>
      <c r="P99" s="37"/>
      <c r="Q99" s="34"/>
      <c r="R99" s="34"/>
      <c r="S99" s="38" t="str">
        <f aca="false">IF(OR($Q99="",$R99="",$R99=0),"",$Q99/$R99)</f>
        <v/>
      </c>
      <c r="T99" s="18" t="str">
        <f aca="false">IF($S99="","",IF($S99&gt;=0.5,"PROCEDE BAJA","EVALUAR REPARACION"))</f>
        <v/>
      </c>
      <c r="U99" s="34"/>
      <c r="V99" s="33"/>
      <c r="W99" s="33"/>
      <c r="X99" s="33"/>
      <c r="Y99" s="33"/>
      <c r="Z99" s="33"/>
      <c r="AA99" s="33"/>
    </row>
    <row r="100" customFormat="false" ht="15" hidden="false" customHeight="false" outlineLevel="0" collapsed="false">
      <c r="A100" s="33"/>
      <c r="B100" s="33"/>
      <c r="C100" s="33"/>
      <c r="D100" s="33"/>
      <c r="E100" s="33"/>
      <c r="F100" s="33"/>
      <c r="G100" s="33"/>
      <c r="H100" s="33"/>
      <c r="I100" s="33"/>
      <c r="J100" s="34"/>
      <c r="K100" s="34"/>
      <c r="L100" s="35" t="str">
        <f aca="false">IF($J100="","",$J100-IF($K100="",0,$K100))</f>
        <v/>
      </c>
      <c r="M100" s="36"/>
      <c r="N100" s="33"/>
      <c r="O100" s="33"/>
      <c r="P100" s="37"/>
      <c r="Q100" s="34"/>
      <c r="R100" s="34"/>
      <c r="S100" s="38" t="str">
        <f aca="false">IF(OR($Q100="",$R100="",$R100=0),"",$Q100/$R100)</f>
        <v/>
      </c>
      <c r="T100" s="18" t="str">
        <f aca="false">IF($S100="","",IF($S100&gt;=0.5,"PROCEDE BAJA","EVALUAR REPARACION"))</f>
        <v/>
      </c>
      <c r="U100" s="34"/>
      <c r="V100" s="33"/>
      <c r="W100" s="33"/>
      <c r="X100" s="33"/>
      <c r="Y100" s="33"/>
      <c r="Z100" s="33"/>
      <c r="AA100" s="33"/>
    </row>
    <row r="101" customFormat="false" ht="15" hidden="false" customHeight="false" outlineLevel="0" collapsed="false">
      <c r="A101" s="33"/>
      <c r="B101" s="33"/>
      <c r="C101" s="33"/>
      <c r="D101" s="33"/>
      <c r="E101" s="33"/>
      <c r="F101" s="33"/>
      <c r="G101" s="33"/>
      <c r="H101" s="33"/>
      <c r="I101" s="33"/>
      <c r="J101" s="34"/>
      <c r="K101" s="34"/>
      <c r="L101" s="35" t="str">
        <f aca="false">IF($J101="","",$J101-IF($K101="",0,$K101))</f>
        <v/>
      </c>
      <c r="M101" s="36"/>
      <c r="N101" s="33"/>
      <c r="O101" s="33"/>
      <c r="P101" s="37"/>
      <c r="Q101" s="34"/>
      <c r="R101" s="34"/>
      <c r="S101" s="38" t="str">
        <f aca="false">IF(OR($Q101="",$R101="",$R101=0),"",$Q101/$R101)</f>
        <v/>
      </c>
      <c r="T101" s="18" t="str">
        <f aca="false">IF($S101="","",IF($S101&gt;=0.5,"PROCEDE BAJA","EVALUAR REPARACION"))</f>
        <v/>
      </c>
      <c r="U101" s="34"/>
      <c r="V101" s="33"/>
      <c r="W101" s="33"/>
      <c r="X101" s="33"/>
      <c r="Y101" s="33"/>
      <c r="Z101" s="33"/>
      <c r="AA101" s="33"/>
    </row>
    <row r="102" customFormat="false" ht="15" hidden="false" customHeight="false" outlineLevel="0" collapsed="false">
      <c r="A102" s="33"/>
      <c r="B102" s="33"/>
      <c r="C102" s="33"/>
      <c r="D102" s="33"/>
      <c r="E102" s="33"/>
      <c r="F102" s="33"/>
      <c r="G102" s="33"/>
      <c r="H102" s="33"/>
      <c r="I102" s="33"/>
      <c r="J102" s="34"/>
      <c r="K102" s="34"/>
      <c r="L102" s="35" t="str">
        <f aca="false">IF($J102="","",$J102-IF($K102="",0,$K102))</f>
        <v/>
      </c>
      <c r="M102" s="36"/>
      <c r="N102" s="33"/>
      <c r="O102" s="33"/>
      <c r="P102" s="37"/>
      <c r="Q102" s="34"/>
      <c r="R102" s="34"/>
      <c r="S102" s="38" t="str">
        <f aca="false">IF(OR($Q102="",$R102="",$R102=0),"",$Q102/$R102)</f>
        <v/>
      </c>
      <c r="T102" s="18" t="str">
        <f aca="false">IF($S102="","",IF($S102&gt;=0.5,"PROCEDE BAJA","EVALUAR REPARACION"))</f>
        <v/>
      </c>
      <c r="U102" s="34"/>
      <c r="V102" s="33"/>
      <c r="W102" s="33"/>
      <c r="X102" s="33"/>
      <c r="Y102" s="33"/>
      <c r="Z102" s="33"/>
      <c r="AA102" s="33"/>
    </row>
    <row r="103" customFormat="false" ht="15" hidden="false" customHeight="false" outlineLevel="0" collapsed="false">
      <c r="A103" s="33"/>
      <c r="B103" s="33"/>
      <c r="C103" s="33"/>
      <c r="D103" s="33"/>
      <c r="E103" s="33"/>
      <c r="F103" s="33"/>
      <c r="G103" s="33"/>
      <c r="H103" s="33"/>
      <c r="I103" s="33"/>
      <c r="J103" s="34"/>
      <c r="K103" s="34"/>
      <c r="L103" s="35" t="str">
        <f aca="false">IF($J103="","",$J103-IF($K103="",0,$K103))</f>
        <v/>
      </c>
      <c r="M103" s="36"/>
      <c r="N103" s="33"/>
      <c r="O103" s="33"/>
      <c r="P103" s="37"/>
      <c r="Q103" s="34"/>
      <c r="R103" s="34"/>
      <c r="S103" s="38" t="str">
        <f aca="false">IF(OR($Q103="",$R103="",$R103=0),"",$Q103/$R103)</f>
        <v/>
      </c>
      <c r="T103" s="18" t="str">
        <f aca="false">IF($S103="","",IF($S103&gt;=0.5,"PROCEDE BAJA","EVALUAR REPARACION"))</f>
        <v/>
      </c>
      <c r="U103" s="34"/>
      <c r="V103" s="33"/>
      <c r="W103" s="33"/>
      <c r="X103" s="33"/>
      <c r="Y103" s="33"/>
      <c r="Z103" s="33"/>
      <c r="AA103" s="33"/>
    </row>
    <row r="104" customFormat="false" ht="15" hidden="false" customHeight="false" outlineLevel="0" collapsed="false">
      <c r="A104" s="33"/>
      <c r="B104" s="33"/>
      <c r="C104" s="33"/>
      <c r="D104" s="33"/>
      <c r="E104" s="33"/>
      <c r="F104" s="33"/>
      <c r="G104" s="33"/>
      <c r="H104" s="33"/>
      <c r="I104" s="33"/>
      <c r="J104" s="34"/>
      <c r="K104" s="34"/>
      <c r="L104" s="35" t="str">
        <f aca="false">IF($J104="","",$J104-IF($K104="",0,$K104))</f>
        <v/>
      </c>
      <c r="M104" s="36"/>
      <c r="N104" s="33"/>
      <c r="O104" s="33"/>
      <c r="P104" s="37"/>
      <c r="Q104" s="34"/>
      <c r="R104" s="34"/>
      <c r="S104" s="38" t="str">
        <f aca="false">IF(OR($Q104="",$R104="",$R104=0),"",$Q104/$R104)</f>
        <v/>
      </c>
      <c r="T104" s="18" t="str">
        <f aca="false">IF($S104="","",IF($S104&gt;=0.5,"PROCEDE BAJA","EVALUAR REPARACION"))</f>
        <v/>
      </c>
      <c r="U104" s="34"/>
      <c r="V104" s="33"/>
      <c r="W104" s="33"/>
      <c r="X104" s="33"/>
      <c r="Y104" s="33"/>
      <c r="Z104" s="33"/>
      <c r="AA104" s="33"/>
    </row>
    <row r="105" customFormat="false" ht="15" hidden="false" customHeight="false" outlineLevel="0" collapsed="false">
      <c r="A105" s="33"/>
      <c r="B105" s="33"/>
      <c r="C105" s="33"/>
      <c r="D105" s="33"/>
      <c r="E105" s="33"/>
      <c r="F105" s="33"/>
      <c r="G105" s="33"/>
      <c r="H105" s="33"/>
      <c r="I105" s="33"/>
      <c r="J105" s="34"/>
      <c r="K105" s="34"/>
      <c r="L105" s="35" t="str">
        <f aca="false">IF($J105="","",$J105-IF($K105="",0,$K105))</f>
        <v/>
      </c>
      <c r="M105" s="36"/>
      <c r="N105" s="33"/>
      <c r="O105" s="33"/>
      <c r="P105" s="37"/>
      <c r="Q105" s="34"/>
      <c r="R105" s="34"/>
      <c r="S105" s="38" t="str">
        <f aca="false">IF(OR($Q105="",$R105="",$R105=0),"",$Q105/$R105)</f>
        <v/>
      </c>
      <c r="T105" s="18" t="str">
        <f aca="false">IF($S105="","",IF($S105&gt;=0.5,"PROCEDE BAJA","EVALUAR REPARACION"))</f>
        <v/>
      </c>
      <c r="U105" s="34"/>
      <c r="V105" s="33"/>
      <c r="W105" s="33"/>
      <c r="X105" s="33"/>
      <c r="Y105" s="33"/>
      <c r="Z105" s="33"/>
      <c r="AA105" s="33"/>
    </row>
    <row r="106" customFormat="false" ht="15" hidden="false" customHeight="false" outlineLevel="0" collapsed="false">
      <c r="A106" s="33"/>
      <c r="B106" s="33"/>
      <c r="C106" s="33"/>
      <c r="D106" s="33"/>
      <c r="E106" s="33"/>
      <c r="F106" s="33"/>
      <c r="G106" s="33"/>
      <c r="H106" s="33"/>
      <c r="I106" s="33"/>
      <c r="J106" s="34"/>
      <c r="K106" s="34"/>
      <c r="L106" s="35" t="str">
        <f aca="false">IF($J106="","",$J106-IF($K106="",0,$K106))</f>
        <v/>
      </c>
      <c r="M106" s="36"/>
      <c r="N106" s="33"/>
      <c r="O106" s="33"/>
      <c r="P106" s="37"/>
      <c r="Q106" s="34"/>
      <c r="R106" s="34"/>
      <c r="S106" s="38" t="str">
        <f aca="false">IF(OR($Q106="",$R106="",$R106=0),"",$Q106/$R106)</f>
        <v/>
      </c>
      <c r="T106" s="18" t="str">
        <f aca="false">IF($S106="","",IF($S106&gt;=0.5,"PROCEDE BAJA","EVALUAR REPARACION"))</f>
        <v/>
      </c>
      <c r="U106" s="34"/>
      <c r="V106" s="33"/>
      <c r="W106" s="33"/>
      <c r="X106" s="33"/>
      <c r="Y106" s="33"/>
      <c r="Z106" s="33"/>
      <c r="AA106" s="33"/>
    </row>
    <row r="107" customFormat="false" ht="15" hidden="false" customHeight="false" outlineLevel="0" collapsed="false">
      <c r="A107" s="33"/>
      <c r="B107" s="33"/>
      <c r="C107" s="33"/>
      <c r="D107" s="33"/>
      <c r="E107" s="33"/>
      <c r="F107" s="33"/>
      <c r="G107" s="33"/>
      <c r="H107" s="33"/>
      <c r="I107" s="33"/>
      <c r="J107" s="34"/>
      <c r="K107" s="34"/>
      <c r="L107" s="35" t="str">
        <f aca="false">IF($J107="","",$J107-IF($K107="",0,$K107))</f>
        <v/>
      </c>
      <c r="M107" s="36"/>
      <c r="N107" s="33"/>
      <c r="O107" s="33"/>
      <c r="P107" s="37"/>
      <c r="Q107" s="34"/>
      <c r="R107" s="34"/>
      <c r="S107" s="38" t="str">
        <f aca="false">IF(OR($Q107="",$R107="",$R107=0),"",$Q107/$R107)</f>
        <v/>
      </c>
      <c r="T107" s="18" t="str">
        <f aca="false">IF($S107="","",IF($S107&gt;=0.5,"PROCEDE BAJA","EVALUAR REPARACION"))</f>
        <v/>
      </c>
      <c r="U107" s="34"/>
      <c r="V107" s="33"/>
      <c r="W107" s="33"/>
      <c r="X107" s="33"/>
      <c r="Y107" s="33"/>
      <c r="Z107" s="33"/>
      <c r="AA107" s="33"/>
    </row>
    <row r="108" customFormat="false" ht="15" hidden="false" customHeight="false" outlineLevel="0" collapsed="false">
      <c r="A108" s="33"/>
      <c r="B108" s="33"/>
      <c r="C108" s="33"/>
      <c r="D108" s="33"/>
      <c r="E108" s="33"/>
      <c r="F108" s="33"/>
      <c r="G108" s="33"/>
      <c r="H108" s="33"/>
      <c r="I108" s="33"/>
      <c r="J108" s="34"/>
      <c r="K108" s="34"/>
      <c r="L108" s="35" t="str">
        <f aca="false">IF($J108="","",$J108-IF($K108="",0,$K108))</f>
        <v/>
      </c>
      <c r="M108" s="36"/>
      <c r="N108" s="33"/>
      <c r="O108" s="33"/>
      <c r="P108" s="37"/>
      <c r="Q108" s="34"/>
      <c r="R108" s="34"/>
      <c r="S108" s="38" t="str">
        <f aca="false">IF(OR($Q108="",$R108="",$R108=0),"",$Q108/$R108)</f>
        <v/>
      </c>
      <c r="T108" s="18" t="str">
        <f aca="false">IF($S108="","",IF($S108&gt;=0.5,"PROCEDE BAJA","EVALUAR REPARACION"))</f>
        <v/>
      </c>
      <c r="U108" s="34"/>
      <c r="V108" s="33"/>
      <c r="W108" s="33"/>
      <c r="X108" s="33"/>
      <c r="Y108" s="33"/>
      <c r="Z108" s="33"/>
      <c r="AA108" s="33"/>
    </row>
    <row r="109" customFormat="false" ht="15" hidden="false" customHeight="false" outlineLevel="0" collapsed="false">
      <c r="A109" s="33"/>
      <c r="B109" s="33"/>
      <c r="C109" s="33"/>
      <c r="D109" s="33"/>
      <c r="E109" s="33"/>
      <c r="F109" s="33"/>
      <c r="G109" s="33"/>
      <c r="H109" s="33"/>
      <c r="I109" s="33"/>
      <c r="J109" s="34"/>
      <c r="K109" s="34"/>
      <c r="L109" s="35" t="str">
        <f aca="false">IF($J109="","",$J109-IF($K109="",0,$K109))</f>
        <v/>
      </c>
      <c r="M109" s="36"/>
      <c r="N109" s="33"/>
      <c r="O109" s="33"/>
      <c r="P109" s="37"/>
      <c r="Q109" s="34"/>
      <c r="R109" s="34"/>
      <c r="S109" s="38" t="str">
        <f aca="false">IF(OR($Q109="",$R109="",$R109=0),"",$Q109/$R109)</f>
        <v/>
      </c>
      <c r="T109" s="18" t="str">
        <f aca="false">IF($S109="","",IF($S109&gt;=0.5,"PROCEDE BAJA","EVALUAR REPARACION"))</f>
        <v/>
      </c>
      <c r="U109" s="34"/>
      <c r="V109" s="33"/>
      <c r="W109" s="33"/>
      <c r="X109" s="33"/>
      <c r="Y109" s="33"/>
      <c r="Z109" s="33"/>
      <c r="AA109" s="33"/>
    </row>
    <row r="110" customFormat="false" ht="15" hidden="false" customHeight="false" outlineLevel="0" collapsed="false">
      <c r="A110" s="33"/>
      <c r="B110" s="33"/>
      <c r="C110" s="33"/>
      <c r="D110" s="33"/>
      <c r="E110" s="33"/>
      <c r="F110" s="33"/>
      <c r="G110" s="33"/>
      <c r="H110" s="33"/>
      <c r="I110" s="33"/>
      <c r="J110" s="34"/>
      <c r="K110" s="34"/>
      <c r="L110" s="35" t="str">
        <f aca="false">IF($J110="","",$J110-IF($K110="",0,$K110))</f>
        <v/>
      </c>
      <c r="M110" s="36"/>
      <c r="N110" s="33"/>
      <c r="O110" s="33"/>
      <c r="P110" s="37"/>
      <c r="Q110" s="34"/>
      <c r="R110" s="34"/>
      <c r="S110" s="38" t="str">
        <f aca="false">IF(OR($Q110="",$R110="",$R110=0),"",$Q110/$R110)</f>
        <v/>
      </c>
      <c r="T110" s="18" t="str">
        <f aca="false">IF($S110="","",IF($S110&gt;=0.5,"PROCEDE BAJA","EVALUAR REPARACION"))</f>
        <v/>
      </c>
      <c r="U110" s="34"/>
      <c r="V110" s="33"/>
      <c r="W110" s="33"/>
      <c r="X110" s="33"/>
      <c r="Y110" s="33"/>
      <c r="Z110" s="33"/>
      <c r="AA110" s="33"/>
    </row>
    <row r="111" customFormat="false" ht="15" hidden="false" customHeight="false" outlineLevel="0" collapsed="false">
      <c r="A111" s="33"/>
      <c r="B111" s="33"/>
      <c r="C111" s="33"/>
      <c r="D111" s="33"/>
      <c r="E111" s="33"/>
      <c r="F111" s="33"/>
      <c r="G111" s="33"/>
      <c r="H111" s="33"/>
      <c r="I111" s="33"/>
      <c r="J111" s="34"/>
      <c r="K111" s="34"/>
      <c r="L111" s="35" t="str">
        <f aca="false">IF($J111="","",$J111-IF($K111="",0,$K111))</f>
        <v/>
      </c>
      <c r="M111" s="36"/>
      <c r="N111" s="33"/>
      <c r="O111" s="33"/>
      <c r="P111" s="37"/>
      <c r="Q111" s="34"/>
      <c r="R111" s="34"/>
      <c r="S111" s="38" t="str">
        <f aca="false">IF(OR($Q111="",$R111="",$R111=0),"",$Q111/$R111)</f>
        <v/>
      </c>
      <c r="T111" s="18" t="str">
        <f aca="false">IF($S111="","",IF($S111&gt;=0.5,"PROCEDE BAJA","EVALUAR REPARACION"))</f>
        <v/>
      </c>
      <c r="U111" s="34"/>
      <c r="V111" s="33"/>
      <c r="W111" s="33"/>
      <c r="X111" s="33"/>
      <c r="Y111" s="33"/>
      <c r="Z111" s="33"/>
      <c r="AA111" s="33"/>
    </row>
    <row r="112" customFormat="false" ht="15" hidden="false" customHeight="false" outlineLevel="0" collapsed="false">
      <c r="A112" s="33"/>
      <c r="B112" s="33"/>
      <c r="C112" s="33"/>
      <c r="D112" s="33"/>
      <c r="E112" s="33"/>
      <c r="F112" s="33"/>
      <c r="G112" s="33"/>
      <c r="H112" s="33"/>
      <c r="I112" s="33"/>
      <c r="J112" s="34"/>
      <c r="K112" s="34"/>
      <c r="L112" s="35" t="str">
        <f aca="false">IF($J112="","",$J112-IF($K112="",0,$K112))</f>
        <v/>
      </c>
      <c r="M112" s="36"/>
      <c r="N112" s="33"/>
      <c r="O112" s="33"/>
      <c r="P112" s="37"/>
      <c r="Q112" s="34"/>
      <c r="R112" s="34"/>
      <c r="S112" s="38" t="str">
        <f aca="false">IF(OR($Q112="",$R112="",$R112=0),"",$Q112/$R112)</f>
        <v/>
      </c>
      <c r="T112" s="18" t="str">
        <f aca="false">IF($S112="","",IF($S112&gt;=0.5,"PROCEDE BAJA","EVALUAR REPARACION"))</f>
        <v/>
      </c>
      <c r="U112" s="34"/>
      <c r="V112" s="33"/>
      <c r="W112" s="33"/>
      <c r="X112" s="33"/>
      <c r="Y112" s="33"/>
      <c r="Z112" s="33"/>
      <c r="AA112" s="33"/>
    </row>
    <row r="113" customFormat="false" ht="15" hidden="false" customHeight="false" outlineLevel="0" collapsed="false">
      <c r="A113" s="33"/>
      <c r="B113" s="33"/>
      <c r="C113" s="33"/>
      <c r="D113" s="33"/>
      <c r="E113" s="33"/>
      <c r="F113" s="33"/>
      <c r="G113" s="33"/>
      <c r="H113" s="33"/>
      <c r="I113" s="33"/>
      <c r="J113" s="34"/>
      <c r="K113" s="34"/>
      <c r="L113" s="35" t="str">
        <f aca="false">IF($J113="","",$J113-IF($K113="",0,$K113))</f>
        <v/>
      </c>
      <c r="M113" s="36"/>
      <c r="N113" s="33"/>
      <c r="O113" s="33"/>
      <c r="P113" s="37"/>
      <c r="Q113" s="34"/>
      <c r="R113" s="34"/>
      <c r="S113" s="38" t="str">
        <f aca="false">IF(OR($Q113="",$R113="",$R113=0),"",$Q113/$R113)</f>
        <v/>
      </c>
      <c r="T113" s="18" t="str">
        <f aca="false">IF($S113="","",IF($S113&gt;=0.5,"PROCEDE BAJA","EVALUAR REPARACION"))</f>
        <v/>
      </c>
      <c r="U113" s="34"/>
      <c r="V113" s="33"/>
      <c r="W113" s="33"/>
      <c r="X113" s="33"/>
      <c r="Y113" s="33"/>
      <c r="Z113" s="33"/>
      <c r="AA113" s="33"/>
    </row>
    <row r="114" customFormat="false" ht="15" hidden="false" customHeight="false" outlineLevel="0" collapsed="false">
      <c r="A114" s="33"/>
      <c r="B114" s="33"/>
      <c r="C114" s="33"/>
      <c r="D114" s="33"/>
      <c r="E114" s="33"/>
      <c r="F114" s="33"/>
      <c r="G114" s="33"/>
      <c r="H114" s="33"/>
      <c r="I114" s="33"/>
      <c r="J114" s="34"/>
      <c r="K114" s="34"/>
      <c r="L114" s="35" t="str">
        <f aca="false">IF($J114="","",$J114-IF($K114="",0,$K114))</f>
        <v/>
      </c>
      <c r="M114" s="36"/>
      <c r="N114" s="33"/>
      <c r="O114" s="33"/>
      <c r="P114" s="37"/>
      <c r="Q114" s="34"/>
      <c r="R114" s="34"/>
      <c r="S114" s="38" t="str">
        <f aca="false">IF(OR($Q114="",$R114="",$R114=0),"",$Q114/$R114)</f>
        <v/>
      </c>
      <c r="T114" s="18" t="str">
        <f aca="false">IF($S114="","",IF($S114&gt;=0.5,"PROCEDE BAJA","EVALUAR REPARACION"))</f>
        <v/>
      </c>
      <c r="U114" s="34"/>
      <c r="V114" s="33"/>
      <c r="W114" s="33"/>
      <c r="X114" s="33"/>
      <c r="Y114" s="33"/>
      <c r="Z114" s="33"/>
      <c r="AA114" s="33"/>
    </row>
    <row r="115" customFormat="false" ht="15" hidden="false" customHeight="false" outlineLevel="0" collapsed="false">
      <c r="A115" s="33"/>
      <c r="B115" s="33"/>
      <c r="C115" s="33"/>
      <c r="D115" s="33"/>
      <c r="E115" s="33"/>
      <c r="F115" s="33"/>
      <c r="G115" s="33"/>
      <c r="H115" s="33"/>
      <c r="I115" s="33"/>
      <c r="J115" s="34"/>
      <c r="K115" s="34"/>
      <c r="L115" s="35" t="str">
        <f aca="false">IF($J115="","",$J115-IF($K115="",0,$K115))</f>
        <v/>
      </c>
      <c r="M115" s="36"/>
      <c r="N115" s="33"/>
      <c r="O115" s="33"/>
      <c r="P115" s="37"/>
      <c r="Q115" s="34"/>
      <c r="R115" s="34"/>
      <c r="S115" s="38" t="str">
        <f aca="false">IF(OR($Q115="",$R115="",$R115=0),"",$Q115/$R115)</f>
        <v/>
      </c>
      <c r="T115" s="18" t="str">
        <f aca="false">IF($S115="","",IF($S115&gt;=0.5,"PROCEDE BAJA","EVALUAR REPARACION"))</f>
        <v/>
      </c>
      <c r="U115" s="34"/>
      <c r="V115" s="33"/>
      <c r="W115" s="33"/>
      <c r="X115" s="33"/>
      <c r="Y115" s="33"/>
      <c r="Z115" s="33"/>
      <c r="AA115" s="33"/>
    </row>
    <row r="116" customFormat="false" ht="15" hidden="false" customHeight="false" outlineLevel="0" collapsed="false">
      <c r="A116" s="33"/>
      <c r="B116" s="33"/>
      <c r="C116" s="33"/>
      <c r="D116" s="33"/>
      <c r="E116" s="33"/>
      <c r="F116" s="33"/>
      <c r="G116" s="33"/>
      <c r="H116" s="33"/>
      <c r="I116" s="33"/>
      <c r="J116" s="34"/>
      <c r="K116" s="34"/>
      <c r="L116" s="35" t="str">
        <f aca="false">IF($J116="","",$J116-IF($K116="",0,$K116))</f>
        <v/>
      </c>
      <c r="M116" s="36"/>
      <c r="N116" s="33"/>
      <c r="O116" s="33"/>
      <c r="P116" s="37"/>
      <c r="Q116" s="34"/>
      <c r="R116" s="34"/>
      <c r="S116" s="38" t="str">
        <f aca="false">IF(OR($Q116="",$R116="",$R116=0),"",$Q116/$R116)</f>
        <v/>
      </c>
      <c r="T116" s="18" t="str">
        <f aca="false">IF($S116="","",IF($S116&gt;=0.5,"PROCEDE BAJA","EVALUAR REPARACION"))</f>
        <v/>
      </c>
      <c r="U116" s="34"/>
      <c r="V116" s="33"/>
      <c r="W116" s="33"/>
      <c r="X116" s="33"/>
      <c r="Y116" s="33"/>
      <c r="Z116" s="33"/>
      <c r="AA116" s="33"/>
    </row>
    <row r="117" customFormat="false" ht="15" hidden="false" customHeight="false" outlineLevel="0" collapsed="false">
      <c r="A117" s="33"/>
      <c r="B117" s="33"/>
      <c r="C117" s="33"/>
      <c r="D117" s="33"/>
      <c r="E117" s="33"/>
      <c r="F117" s="33"/>
      <c r="G117" s="33"/>
      <c r="H117" s="33"/>
      <c r="I117" s="33"/>
      <c r="J117" s="34"/>
      <c r="K117" s="34"/>
      <c r="L117" s="35" t="str">
        <f aca="false">IF($J117="","",$J117-IF($K117="",0,$K117))</f>
        <v/>
      </c>
      <c r="M117" s="36"/>
      <c r="N117" s="33"/>
      <c r="O117" s="33"/>
      <c r="P117" s="37"/>
      <c r="Q117" s="34"/>
      <c r="R117" s="34"/>
      <c r="S117" s="38" t="str">
        <f aca="false">IF(OR($Q117="",$R117="",$R117=0),"",$Q117/$R117)</f>
        <v/>
      </c>
      <c r="T117" s="18" t="str">
        <f aca="false">IF($S117="","",IF($S117&gt;=0.5,"PROCEDE BAJA","EVALUAR REPARACION"))</f>
        <v/>
      </c>
      <c r="U117" s="34"/>
      <c r="V117" s="33"/>
      <c r="W117" s="33"/>
      <c r="X117" s="33"/>
      <c r="Y117" s="33"/>
      <c r="Z117" s="33"/>
      <c r="AA117" s="33"/>
    </row>
    <row r="118" customFormat="false" ht="15" hidden="false" customHeight="false" outlineLevel="0" collapsed="false">
      <c r="A118" s="33"/>
      <c r="B118" s="33"/>
      <c r="C118" s="33"/>
      <c r="D118" s="33"/>
      <c r="E118" s="33"/>
      <c r="F118" s="33"/>
      <c r="G118" s="33"/>
      <c r="H118" s="33"/>
      <c r="I118" s="33"/>
      <c r="J118" s="34"/>
      <c r="K118" s="34"/>
      <c r="L118" s="35" t="str">
        <f aca="false">IF($J118="","",$J118-IF($K118="",0,$K118))</f>
        <v/>
      </c>
      <c r="M118" s="36"/>
      <c r="N118" s="33"/>
      <c r="O118" s="33"/>
      <c r="P118" s="37"/>
      <c r="Q118" s="34"/>
      <c r="R118" s="34"/>
      <c r="S118" s="38" t="str">
        <f aca="false">IF(OR($Q118="",$R118="",$R118=0),"",$Q118/$R118)</f>
        <v/>
      </c>
      <c r="T118" s="18" t="str">
        <f aca="false">IF($S118="","",IF($S118&gt;=0.5,"PROCEDE BAJA","EVALUAR REPARACION"))</f>
        <v/>
      </c>
      <c r="U118" s="34"/>
      <c r="V118" s="33"/>
      <c r="W118" s="33"/>
      <c r="X118" s="33"/>
      <c r="Y118" s="33"/>
      <c r="Z118" s="33"/>
      <c r="AA118" s="33"/>
    </row>
    <row r="119" customFormat="false" ht="15" hidden="false" customHeight="false" outlineLevel="0" collapsed="false">
      <c r="A119" s="33"/>
      <c r="B119" s="33"/>
      <c r="C119" s="33"/>
      <c r="D119" s="33"/>
      <c r="E119" s="33"/>
      <c r="F119" s="33"/>
      <c r="G119" s="33"/>
      <c r="H119" s="33"/>
      <c r="I119" s="33"/>
      <c r="J119" s="34"/>
      <c r="K119" s="34"/>
      <c r="L119" s="35" t="str">
        <f aca="false">IF($J119="","",$J119-IF($K119="",0,$K119))</f>
        <v/>
      </c>
      <c r="M119" s="36"/>
      <c r="N119" s="33"/>
      <c r="O119" s="33"/>
      <c r="P119" s="37"/>
      <c r="Q119" s="34"/>
      <c r="R119" s="34"/>
      <c r="S119" s="38" t="str">
        <f aca="false">IF(OR($Q119="",$R119="",$R119=0),"",$Q119/$R119)</f>
        <v/>
      </c>
      <c r="T119" s="18" t="str">
        <f aca="false">IF($S119="","",IF($S119&gt;=0.5,"PROCEDE BAJA","EVALUAR REPARACION"))</f>
        <v/>
      </c>
      <c r="U119" s="34"/>
      <c r="V119" s="33"/>
      <c r="W119" s="33"/>
      <c r="X119" s="33"/>
      <c r="Y119" s="33"/>
      <c r="Z119" s="33"/>
      <c r="AA119" s="33"/>
    </row>
    <row r="120" customFormat="false" ht="15" hidden="false" customHeight="false" outlineLevel="0" collapsed="false">
      <c r="A120" s="33"/>
      <c r="B120" s="33"/>
      <c r="C120" s="33"/>
      <c r="D120" s="33"/>
      <c r="E120" s="33"/>
      <c r="F120" s="33"/>
      <c r="G120" s="33"/>
      <c r="H120" s="33"/>
      <c r="I120" s="33"/>
      <c r="J120" s="34"/>
      <c r="K120" s="34"/>
      <c r="L120" s="35" t="str">
        <f aca="false">IF($J120="","",$J120-IF($K120="",0,$K120))</f>
        <v/>
      </c>
      <c r="M120" s="36"/>
      <c r="N120" s="33"/>
      <c r="O120" s="33"/>
      <c r="P120" s="37"/>
      <c r="Q120" s="34"/>
      <c r="R120" s="34"/>
      <c r="S120" s="38" t="str">
        <f aca="false">IF(OR($Q120="",$R120="",$R120=0),"",$Q120/$R120)</f>
        <v/>
      </c>
      <c r="T120" s="18" t="str">
        <f aca="false">IF($S120="","",IF($S120&gt;=0.5,"PROCEDE BAJA","EVALUAR REPARACION"))</f>
        <v/>
      </c>
      <c r="U120" s="34"/>
      <c r="V120" s="33"/>
      <c r="W120" s="33"/>
      <c r="X120" s="33"/>
      <c r="Y120" s="33"/>
      <c r="Z120" s="33"/>
      <c r="AA120" s="33"/>
    </row>
    <row r="121" customFormat="false" ht="15" hidden="false" customHeight="false" outlineLevel="0" collapsed="false">
      <c r="A121" s="33"/>
      <c r="B121" s="33"/>
      <c r="C121" s="33"/>
      <c r="D121" s="33"/>
      <c r="E121" s="33"/>
      <c r="F121" s="33"/>
      <c r="G121" s="33"/>
      <c r="H121" s="33"/>
      <c r="I121" s="33"/>
      <c r="J121" s="34"/>
      <c r="K121" s="34"/>
      <c r="L121" s="35" t="str">
        <f aca="false">IF($J121="","",$J121-IF($K121="",0,$K121))</f>
        <v/>
      </c>
      <c r="M121" s="36"/>
      <c r="N121" s="33"/>
      <c r="O121" s="33"/>
      <c r="P121" s="37"/>
      <c r="Q121" s="34"/>
      <c r="R121" s="34"/>
      <c r="S121" s="38" t="str">
        <f aca="false">IF(OR($Q121="",$R121="",$R121=0),"",$Q121/$R121)</f>
        <v/>
      </c>
      <c r="T121" s="18" t="str">
        <f aca="false">IF($S121="","",IF($S121&gt;=0.5,"PROCEDE BAJA","EVALUAR REPARACION"))</f>
        <v/>
      </c>
      <c r="U121" s="34"/>
      <c r="V121" s="33"/>
      <c r="W121" s="33"/>
      <c r="X121" s="33"/>
      <c r="Y121" s="33"/>
      <c r="Z121" s="33"/>
      <c r="AA121" s="33"/>
    </row>
    <row r="122" customFormat="false" ht="15" hidden="false" customHeight="false" outlineLevel="0" collapsed="false">
      <c r="A122" s="33"/>
      <c r="B122" s="33"/>
      <c r="C122" s="33"/>
      <c r="D122" s="33"/>
      <c r="E122" s="33"/>
      <c r="F122" s="33"/>
      <c r="G122" s="33"/>
      <c r="H122" s="33"/>
      <c r="I122" s="33"/>
      <c r="J122" s="34"/>
      <c r="K122" s="34"/>
      <c r="L122" s="35" t="str">
        <f aca="false">IF($J122="","",$J122-IF($K122="",0,$K122))</f>
        <v/>
      </c>
      <c r="M122" s="36"/>
      <c r="N122" s="33"/>
      <c r="O122" s="33"/>
      <c r="P122" s="37"/>
      <c r="Q122" s="34"/>
      <c r="R122" s="34"/>
      <c r="S122" s="38" t="str">
        <f aca="false">IF(OR($Q122="",$R122="",$R122=0),"",$Q122/$R122)</f>
        <v/>
      </c>
      <c r="T122" s="18" t="str">
        <f aca="false">IF($S122="","",IF($S122&gt;=0.5,"PROCEDE BAJA","EVALUAR REPARACION"))</f>
        <v/>
      </c>
      <c r="U122" s="34"/>
      <c r="V122" s="33"/>
      <c r="W122" s="33"/>
      <c r="X122" s="33"/>
      <c r="Y122" s="33"/>
      <c r="Z122" s="33"/>
      <c r="AA122" s="33"/>
    </row>
    <row r="123" customFormat="false" ht="15" hidden="false" customHeight="false" outlineLevel="0" collapsed="false">
      <c r="A123" s="33"/>
      <c r="B123" s="33"/>
      <c r="C123" s="33"/>
      <c r="D123" s="33"/>
      <c r="E123" s="33"/>
      <c r="F123" s="33"/>
      <c r="G123" s="33"/>
      <c r="H123" s="33"/>
      <c r="I123" s="33"/>
      <c r="J123" s="34"/>
      <c r="K123" s="34"/>
      <c r="L123" s="35" t="str">
        <f aca="false">IF($J123="","",$J123-IF($K123="",0,$K123))</f>
        <v/>
      </c>
      <c r="M123" s="36"/>
      <c r="N123" s="33"/>
      <c r="O123" s="33"/>
      <c r="P123" s="37"/>
      <c r="Q123" s="34"/>
      <c r="R123" s="34"/>
      <c r="S123" s="38" t="str">
        <f aca="false">IF(OR($Q123="",$R123="",$R123=0),"",$Q123/$R123)</f>
        <v/>
      </c>
      <c r="T123" s="18" t="str">
        <f aca="false">IF($S123="","",IF($S123&gt;=0.5,"PROCEDE BAJA","EVALUAR REPARACION"))</f>
        <v/>
      </c>
      <c r="U123" s="34"/>
      <c r="V123" s="33"/>
      <c r="W123" s="33"/>
      <c r="X123" s="33"/>
      <c r="Y123" s="33"/>
      <c r="Z123" s="33"/>
      <c r="AA123" s="33"/>
    </row>
    <row r="124" customFormat="false" ht="15" hidden="false" customHeight="false" outlineLevel="0" collapsed="false">
      <c r="A124" s="33"/>
      <c r="B124" s="33"/>
      <c r="C124" s="33"/>
      <c r="D124" s="33"/>
      <c r="E124" s="33"/>
      <c r="F124" s="33"/>
      <c r="G124" s="33"/>
      <c r="H124" s="33"/>
      <c r="I124" s="33"/>
      <c r="J124" s="34"/>
      <c r="K124" s="34"/>
      <c r="L124" s="35" t="str">
        <f aca="false">IF($J124="","",$J124-IF($K124="",0,$K124))</f>
        <v/>
      </c>
      <c r="M124" s="36"/>
      <c r="N124" s="33"/>
      <c r="O124" s="33"/>
      <c r="P124" s="37"/>
      <c r="Q124" s="34"/>
      <c r="R124" s="34"/>
      <c r="S124" s="38" t="str">
        <f aca="false">IF(OR($Q124="",$R124="",$R124=0),"",$Q124/$R124)</f>
        <v/>
      </c>
      <c r="T124" s="18" t="str">
        <f aca="false">IF($S124="","",IF($S124&gt;=0.5,"PROCEDE BAJA","EVALUAR REPARACION"))</f>
        <v/>
      </c>
      <c r="U124" s="34"/>
      <c r="V124" s="33"/>
      <c r="W124" s="33"/>
      <c r="X124" s="33"/>
      <c r="Y124" s="33"/>
      <c r="Z124" s="33"/>
      <c r="AA124" s="33"/>
    </row>
    <row r="125" customFormat="false" ht="15" hidden="false" customHeight="false" outlineLevel="0" collapsed="false">
      <c r="A125" s="33"/>
      <c r="B125" s="33"/>
      <c r="C125" s="33"/>
      <c r="D125" s="33"/>
      <c r="E125" s="33"/>
      <c r="F125" s="33"/>
      <c r="G125" s="33"/>
      <c r="H125" s="33"/>
      <c r="I125" s="33"/>
      <c r="J125" s="34"/>
      <c r="K125" s="34"/>
      <c r="L125" s="35" t="str">
        <f aca="false">IF($J125="","",$J125-IF($K125="",0,$K125))</f>
        <v/>
      </c>
      <c r="M125" s="36"/>
      <c r="N125" s="33"/>
      <c r="O125" s="33"/>
      <c r="P125" s="37"/>
      <c r="Q125" s="34"/>
      <c r="R125" s="34"/>
      <c r="S125" s="38" t="str">
        <f aca="false">IF(OR($Q125="",$R125="",$R125=0),"",$Q125/$R125)</f>
        <v/>
      </c>
      <c r="T125" s="18" t="str">
        <f aca="false">IF($S125="","",IF($S125&gt;=0.5,"PROCEDE BAJA","EVALUAR REPARACION"))</f>
        <v/>
      </c>
      <c r="U125" s="34"/>
      <c r="V125" s="33"/>
      <c r="W125" s="33"/>
      <c r="X125" s="33"/>
      <c r="Y125" s="33"/>
      <c r="Z125" s="33"/>
      <c r="AA125" s="33"/>
    </row>
    <row r="126" customFormat="false" ht="15" hidden="false" customHeight="false" outlineLevel="0" collapsed="false">
      <c r="A126" s="33"/>
      <c r="B126" s="33"/>
      <c r="C126" s="33"/>
      <c r="D126" s="33"/>
      <c r="E126" s="33"/>
      <c r="F126" s="33"/>
      <c r="G126" s="33"/>
      <c r="H126" s="33"/>
      <c r="I126" s="33"/>
      <c r="J126" s="34"/>
      <c r="K126" s="34"/>
      <c r="L126" s="35" t="str">
        <f aca="false">IF($J126="","",$J126-IF($K126="",0,$K126))</f>
        <v/>
      </c>
      <c r="M126" s="36"/>
      <c r="N126" s="33"/>
      <c r="O126" s="33"/>
      <c r="P126" s="37"/>
      <c r="Q126" s="34"/>
      <c r="R126" s="34"/>
      <c r="S126" s="38" t="str">
        <f aca="false">IF(OR($Q126="",$R126="",$R126=0),"",$Q126/$R126)</f>
        <v/>
      </c>
      <c r="T126" s="18" t="str">
        <f aca="false">IF($S126="","",IF($S126&gt;=0.5,"PROCEDE BAJA","EVALUAR REPARACION"))</f>
        <v/>
      </c>
      <c r="U126" s="34"/>
      <c r="V126" s="33"/>
      <c r="W126" s="33"/>
      <c r="X126" s="33"/>
      <c r="Y126" s="33"/>
      <c r="Z126" s="33"/>
      <c r="AA126" s="33"/>
    </row>
    <row r="127" customFormat="false" ht="15" hidden="false" customHeight="false" outlineLevel="0" collapsed="false">
      <c r="A127" s="33"/>
      <c r="B127" s="33"/>
      <c r="C127" s="33"/>
      <c r="D127" s="33"/>
      <c r="E127" s="33"/>
      <c r="F127" s="33"/>
      <c r="G127" s="33"/>
      <c r="H127" s="33"/>
      <c r="I127" s="33"/>
      <c r="J127" s="34"/>
      <c r="K127" s="34"/>
      <c r="L127" s="35" t="str">
        <f aca="false">IF($J127="","",$J127-IF($K127="",0,$K127))</f>
        <v/>
      </c>
      <c r="M127" s="36"/>
      <c r="N127" s="33"/>
      <c r="O127" s="33"/>
      <c r="P127" s="37"/>
      <c r="Q127" s="34"/>
      <c r="R127" s="34"/>
      <c r="S127" s="38" t="str">
        <f aca="false">IF(OR($Q127="",$R127="",$R127=0),"",$Q127/$R127)</f>
        <v/>
      </c>
      <c r="T127" s="18" t="str">
        <f aca="false">IF($S127="","",IF($S127&gt;=0.5,"PROCEDE BAJA","EVALUAR REPARACION"))</f>
        <v/>
      </c>
      <c r="U127" s="34"/>
      <c r="V127" s="33"/>
      <c r="W127" s="33"/>
      <c r="X127" s="33"/>
      <c r="Y127" s="33"/>
      <c r="Z127" s="33"/>
      <c r="AA127" s="33"/>
    </row>
    <row r="128" customFormat="false" ht="15" hidden="false" customHeight="false" outlineLevel="0" collapsed="false">
      <c r="A128" s="33"/>
      <c r="B128" s="33"/>
      <c r="C128" s="33"/>
      <c r="D128" s="33"/>
      <c r="E128" s="33"/>
      <c r="F128" s="33"/>
      <c r="G128" s="33"/>
      <c r="H128" s="33"/>
      <c r="I128" s="33"/>
      <c r="J128" s="34"/>
      <c r="K128" s="34"/>
      <c r="L128" s="35" t="str">
        <f aca="false">IF($J128="","",$J128-IF($K128="",0,$K128))</f>
        <v/>
      </c>
      <c r="M128" s="36"/>
      <c r="N128" s="33"/>
      <c r="O128" s="33"/>
      <c r="P128" s="37"/>
      <c r="Q128" s="34"/>
      <c r="R128" s="34"/>
      <c r="S128" s="38" t="str">
        <f aca="false">IF(OR($Q128="",$R128="",$R128=0),"",$Q128/$R128)</f>
        <v/>
      </c>
      <c r="T128" s="18" t="str">
        <f aca="false">IF($S128="","",IF($S128&gt;=0.5,"PROCEDE BAJA","EVALUAR REPARACION"))</f>
        <v/>
      </c>
      <c r="U128" s="34"/>
      <c r="V128" s="33"/>
      <c r="W128" s="33"/>
      <c r="X128" s="33"/>
      <c r="Y128" s="33"/>
      <c r="Z128" s="33"/>
      <c r="AA128" s="33"/>
    </row>
    <row r="129" customFormat="false" ht="15" hidden="false" customHeight="false" outlineLevel="0" collapsed="false">
      <c r="A129" s="33"/>
      <c r="B129" s="33"/>
      <c r="C129" s="33"/>
      <c r="D129" s="33"/>
      <c r="E129" s="33"/>
      <c r="F129" s="33"/>
      <c r="G129" s="33"/>
      <c r="H129" s="33"/>
      <c r="I129" s="33"/>
      <c r="J129" s="34"/>
      <c r="K129" s="34"/>
      <c r="L129" s="35" t="str">
        <f aca="false">IF($J129="","",$J129-IF($K129="",0,$K129))</f>
        <v/>
      </c>
      <c r="M129" s="36"/>
      <c r="N129" s="33"/>
      <c r="O129" s="33"/>
      <c r="P129" s="37"/>
      <c r="Q129" s="34"/>
      <c r="R129" s="34"/>
      <c r="S129" s="38" t="str">
        <f aca="false">IF(OR($Q129="",$R129="",$R129=0),"",$Q129/$R129)</f>
        <v/>
      </c>
      <c r="T129" s="18" t="str">
        <f aca="false">IF($S129="","",IF($S129&gt;=0.5,"PROCEDE BAJA","EVALUAR REPARACION"))</f>
        <v/>
      </c>
      <c r="U129" s="34"/>
      <c r="V129" s="33"/>
      <c r="W129" s="33"/>
      <c r="X129" s="33"/>
      <c r="Y129" s="33"/>
      <c r="Z129" s="33"/>
      <c r="AA129" s="33"/>
    </row>
    <row r="130" customFormat="false" ht="15" hidden="false" customHeight="false" outlineLevel="0" collapsed="false">
      <c r="A130" s="33"/>
      <c r="B130" s="33"/>
      <c r="C130" s="33"/>
      <c r="D130" s="33"/>
      <c r="E130" s="33"/>
      <c r="F130" s="33"/>
      <c r="G130" s="33"/>
      <c r="H130" s="33"/>
      <c r="I130" s="33"/>
      <c r="J130" s="34"/>
      <c r="K130" s="34"/>
      <c r="L130" s="35" t="str">
        <f aca="false">IF($J130="","",$J130-IF($K130="",0,$K130))</f>
        <v/>
      </c>
      <c r="M130" s="36"/>
      <c r="N130" s="33"/>
      <c r="O130" s="33"/>
      <c r="P130" s="37"/>
      <c r="Q130" s="34"/>
      <c r="R130" s="34"/>
      <c r="S130" s="38" t="str">
        <f aca="false">IF(OR($Q130="",$R130="",$R130=0),"",$Q130/$R130)</f>
        <v/>
      </c>
      <c r="T130" s="18" t="str">
        <f aca="false">IF($S130="","",IF($S130&gt;=0.5,"PROCEDE BAJA","EVALUAR REPARACION"))</f>
        <v/>
      </c>
      <c r="U130" s="34"/>
      <c r="V130" s="33"/>
      <c r="W130" s="33"/>
      <c r="X130" s="33"/>
      <c r="Y130" s="33"/>
      <c r="Z130" s="33"/>
      <c r="AA130" s="33"/>
    </row>
    <row r="131" customFormat="false" ht="15" hidden="false" customHeight="false" outlineLevel="0" collapsed="false">
      <c r="A131" s="33"/>
      <c r="B131" s="33"/>
      <c r="C131" s="33"/>
      <c r="D131" s="33"/>
      <c r="E131" s="33"/>
      <c r="F131" s="33"/>
      <c r="G131" s="33"/>
      <c r="H131" s="33"/>
      <c r="I131" s="33"/>
      <c r="J131" s="34"/>
      <c r="K131" s="34"/>
      <c r="L131" s="35" t="str">
        <f aca="false">IF($J131="","",$J131-IF($K131="",0,$K131))</f>
        <v/>
      </c>
      <c r="M131" s="36"/>
      <c r="N131" s="33"/>
      <c r="O131" s="33"/>
      <c r="P131" s="37"/>
      <c r="Q131" s="34"/>
      <c r="R131" s="34"/>
      <c r="S131" s="38" t="str">
        <f aca="false">IF(OR($Q131="",$R131="",$R131=0),"",$Q131/$R131)</f>
        <v/>
      </c>
      <c r="T131" s="18" t="str">
        <f aca="false">IF($S131="","",IF($S131&gt;=0.5,"PROCEDE BAJA","EVALUAR REPARACION"))</f>
        <v/>
      </c>
      <c r="U131" s="34"/>
      <c r="V131" s="33"/>
      <c r="W131" s="33"/>
      <c r="X131" s="33"/>
      <c r="Y131" s="33"/>
      <c r="Z131" s="33"/>
      <c r="AA131" s="33"/>
    </row>
    <row r="132" customFormat="false" ht="15" hidden="false" customHeight="false" outlineLevel="0" collapsed="false">
      <c r="A132" s="33"/>
      <c r="B132" s="33"/>
      <c r="C132" s="33"/>
      <c r="D132" s="33"/>
      <c r="E132" s="33"/>
      <c r="F132" s="33"/>
      <c r="G132" s="33"/>
      <c r="H132" s="33"/>
      <c r="I132" s="33"/>
      <c r="J132" s="34"/>
      <c r="K132" s="34"/>
      <c r="L132" s="35" t="str">
        <f aca="false">IF($J132="","",$J132-IF($K132="",0,$K132))</f>
        <v/>
      </c>
      <c r="M132" s="36"/>
      <c r="N132" s="33"/>
      <c r="O132" s="33"/>
      <c r="P132" s="37"/>
      <c r="Q132" s="34"/>
      <c r="R132" s="34"/>
      <c r="S132" s="38" t="str">
        <f aca="false">IF(OR($Q132="",$R132="",$R132=0),"",$Q132/$R132)</f>
        <v/>
      </c>
      <c r="T132" s="18" t="str">
        <f aca="false">IF($S132="","",IF($S132&gt;=0.5,"PROCEDE BAJA","EVALUAR REPARACION"))</f>
        <v/>
      </c>
      <c r="U132" s="34"/>
      <c r="V132" s="33"/>
      <c r="W132" s="33"/>
      <c r="X132" s="33"/>
      <c r="Y132" s="33"/>
      <c r="Z132" s="33"/>
      <c r="AA132" s="33"/>
    </row>
    <row r="133" customFormat="false" ht="15" hidden="false" customHeight="false" outlineLevel="0" collapsed="false">
      <c r="A133" s="33"/>
      <c r="B133" s="33"/>
      <c r="C133" s="33"/>
      <c r="D133" s="33"/>
      <c r="E133" s="33"/>
      <c r="F133" s="33"/>
      <c r="G133" s="33"/>
      <c r="H133" s="33"/>
      <c r="I133" s="33"/>
      <c r="J133" s="34"/>
      <c r="K133" s="34"/>
      <c r="L133" s="35" t="str">
        <f aca="false">IF($J133="","",$J133-IF($K133="",0,$K133))</f>
        <v/>
      </c>
      <c r="M133" s="36"/>
      <c r="N133" s="33"/>
      <c r="O133" s="33"/>
      <c r="P133" s="37"/>
      <c r="Q133" s="34"/>
      <c r="R133" s="34"/>
      <c r="S133" s="38" t="str">
        <f aca="false">IF(OR($Q133="",$R133="",$R133=0),"",$Q133/$R133)</f>
        <v/>
      </c>
      <c r="T133" s="18" t="str">
        <f aca="false">IF($S133="","",IF($S133&gt;=0.5,"PROCEDE BAJA","EVALUAR REPARACION"))</f>
        <v/>
      </c>
      <c r="U133" s="34"/>
      <c r="V133" s="33"/>
      <c r="W133" s="33"/>
      <c r="X133" s="33"/>
      <c r="Y133" s="33"/>
      <c r="Z133" s="33"/>
      <c r="AA133" s="33"/>
    </row>
    <row r="134" customFormat="false" ht="15" hidden="false" customHeight="false" outlineLevel="0" collapsed="false">
      <c r="A134" s="33"/>
      <c r="B134" s="33"/>
      <c r="C134" s="33"/>
      <c r="D134" s="33"/>
      <c r="E134" s="33"/>
      <c r="F134" s="33"/>
      <c r="G134" s="33"/>
      <c r="H134" s="33"/>
      <c r="I134" s="33"/>
      <c r="J134" s="34"/>
      <c r="K134" s="34"/>
      <c r="L134" s="35" t="str">
        <f aca="false">IF($J134="","",$J134-IF($K134="",0,$K134))</f>
        <v/>
      </c>
      <c r="M134" s="36"/>
      <c r="N134" s="33"/>
      <c r="O134" s="33"/>
      <c r="P134" s="37"/>
      <c r="Q134" s="34"/>
      <c r="R134" s="34"/>
      <c r="S134" s="38" t="str">
        <f aca="false">IF(OR($Q134="",$R134="",$R134=0),"",$Q134/$R134)</f>
        <v/>
      </c>
      <c r="T134" s="18" t="str">
        <f aca="false">IF($S134="","",IF($S134&gt;=0.5,"PROCEDE BAJA","EVALUAR REPARACION"))</f>
        <v/>
      </c>
      <c r="U134" s="34"/>
      <c r="V134" s="33"/>
      <c r="W134" s="33"/>
      <c r="X134" s="33"/>
      <c r="Y134" s="33"/>
      <c r="Z134" s="33"/>
      <c r="AA134" s="33"/>
    </row>
    <row r="135" customFormat="false" ht="15" hidden="false" customHeight="false" outlineLevel="0" collapsed="false">
      <c r="A135" s="33"/>
      <c r="B135" s="33"/>
      <c r="C135" s="33"/>
      <c r="D135" s="33"/>
      <c r="E135" s="33"/>
      <c r="F135" s="33"/>
      <c r="G135" s="33"/>
      <c r="H135" s="33"/>
      <c r="I135" s="33"/>
      <c r="J135" s="34"/>
      <c r="K135" s="34"/>
      <c r="L135" s="35" t="str">
        <f aca="false">IF($J135="","",$J135-IF($K135="",0,$K135))</f>
        <v/>
      </c>
      <c r="M135" s="36"/>
      <c r="N135" s="33"/>
      <c r="O135" s="33"/>
      <c r="P135" s="37"/>
      <c r="Q135" s="34"/>
      <c r="R135" s="34"/>
      <c r="S135" s="38" t="str">
        <f aca="false">IF(OR($Q135="",$R135="",$R135=0),"",$Q135/$R135)</f>
        <v/>
      </c>
      <c r="T135" s="18" t="str">
        <f aca="false">IF($S135="","",IF($S135&gt;=0.5,"PROCEDE BAJA","EVALUAR REPARACION"))</f>
        <v/>
      </c>
      <c r="U135" s="34"/>
      <c r="V135" s="33"/>
      <c r="W135" s="33"/>
      <c r="X135" s="33"/>
      <c r="Y135" s="33"/>
      <c r="Z135" s="33"/>
      <c r="AA135" s="33"/>
    </row>
    <row r="136" customFormat="false" ht="15" hidden="false" customHeight="false" outlineLevel="0" collapsed="false">
      <c r="A136" s="33"/>
      <c r="B136" s="33"/>
      <c r="C136" s="33"/>
      <c r="D136" s="33"/>
      <c r="E136" s="33"/>
      <c r="F136" s="33"/>
      <c r="G136" s="33"/>
      <c r="H136" s="33"/>
      <c r="I136" s="33"/>
      <c r="J136" s="34"/>
      <c r="K136" s="34"/>
      <c r="L136" s="35" t="str">
        <f aca="false">IF($J136="","",$J136-IF($K136="",0,$K136))</f>
        <v/>
      </c>
      <c r="M136" s="36"/>
      <c r="N136" s="33"/>
      <c r="O136" s="33"/>
      <c r="P136" s="37"/>
      <c r="Q136" s="34"/>
      <c r="R136" s="34"/>
      <c r="S136" s="38" t="str">
        <f aca="false">IF(OR($Q136="",$R136="",$R136=0),"",$Q136/$R136)</f>
        <v/>
      </c>
      <c r="T136" s="18" t="str">
        <f aca="false">IF($S136="","",IF($S136&gt;=0.5,"PROCEDE BAJA","EVALUAR REPARACION"))</f>
        <v/>
      </c>
      <c r="U136" s="34"/>
      <c r="V136" s="33"/>
      <c r="W136" s="33"/>
      <c r="X136" s="33"/>
      <c r="Y136" s="33"/>
      <c r="Z136" s="33"/>
      <c r="AA136" s="33"/>
    </row>
    <row r="137" customFormat="false" ht="15" hidden="false" customHeight="false" outlineLevel="0" collapsed="false">
      <c r="A137" s="33"/>
      <c r="B137" s="33"/>
      <c r="C137" s="33"/>
      <c r="D137" s="33"/>
      <c r="E137" s="33"/>
      <c r="F137" s="33"/>
      <c r="G137" s="33"/>
      <c r="H137" s="33"/>
      <c r="I137" s="33"/>
      <c r="J137" s="34"/>
      <c r="K137" s="34"/>
      <c r="L137" s="35" t="str">
        <f aca="false">IF($J137="","",$J137-IF($K137="",0,$K137))</f>
        <v/>
      </c>
      <c r="M137" s="36"/>
      <c r="N137" s="33"/>
      <c r="O137" s="33"/>
      <c r="P137" s="37"/>
      <c r="Q137" s="34"/>
      <c r="R137" s="34"/>
      <c r="S137" s="38" t="str">
        <f aca="false">IF(OR($Q137="",$R137="",$R137=0),"",$Q137/$R137)</f>
        <v/>
      </c>
      <c r="T137" s="18" t="str">
        <f aca="false">IF($S137="","",IF($S137&gt;=0.5,"PROCEDE BAJA","EVALUAR REPARACION"))</f>
        <v/>
      </c>
      <c r="U137" s="34"/>
      <c r="V137" s="33"/>
      <c r="W137" s="33"/>
      <c r="X137" s="33"/>
      <c r="Y137" s="33"/>
      <c r="Z137" s="33"/>
      <c r="AA137" s="33"/>
    </row>
    <row r="138" customFormat="false" ht="15" hidden="false" customHeight="false" outlineLevel="0" collapsed="false">
      <c r="A138" s="33"/>
      <c r="B138" s="33"/>
      <c r="C138" s="33"/>
      <c r="D138" s="33"/>
      <c r="E138" s="33"/>
      <c r="F138" s="33"/>
      <c r="G138" s="33"/>
      <c r="H138" s="33"/>
      <c r="I138" s="33"/>
      <c r="J138" s="34"/>
      <c r="K138" s="34"/>
      <c r="L138" s="35" t="str">
        <f aca="false">IF($J138="","",$J138-IF($K138="",0,$K138))</f>
        <v/>
      </c>
      <c r="M138" s="36"/>
      <c r="N138" s="33"/>
      <c r="O138" s="33"/>
      <c r="P138" s="37"/>
      <c r="Q138" s="34"/>
      <c r="R138" s="34"/>
      <c r="S138" s="38" t="str">
        <f aca="false">IF(OR($Q138="",$R138="",$R138=0),"",$Q138/$R138)</f>
        <v/>
      </c>
      <c r="T138" s="18" t="str">
        <f aca="false">IF($S138="","",IF($S138&gt;=0.5,"PROCEDE BAJA","EVALUAR REPARACION"))</f>
        <v/>
      </c>
      <c r="U138" s="34"/>
      <c r="V138" s="33"/>
      <c r="W138" s="33"/>
      <c r="X138" s="33"/>
      <c r="Y138" s="33"/>
      <c r="Z138" s="33"/>
      <c r="AA138" s="33"/>
    </row>
    <row r="139" customFormat="false" ht="15" hidden="false" customHeight="false" outlineLevel="0" collapsed="false">
      <c r="A139" s="33"/>
      <c r="B139" s="33"/>
      <c r="C139" s="33"/>
      <c r="D139" s="33"/>
      <c r="E139" s="33"/>
      <c r="F139" s="33"/>
      <c r="G139" s="33"/>
      <c r="H139" s="33"/>
      <c r="I139" s="33"/>
      <c r="J139" s="34"/>
      <c r="K139" s="34"/>
      <c r="L139" s="35" t="str">
        <f aca="false">IF($J139="","",$J139-IF($K139="",0,$K139))</f>
        <v/>
      </c>
      <c r="M139" s="36"/>
      <c r="N139" s="33"/>
      <c r="O139" s="33"/>
      <c r="P139" s="37"/>
      <c r="Q139" s="34"/>
      <c r="R139" s="34"/>
      <c r="S139" s="38" t="str">
        <f aca="false">IF(OR($Q139="",$R139="",$R139=0),"",$Q139/$R139)</f>
        <v/>
      </c>
      <c r="T139" s="18" t="str">
        <f aca="false">IF($S139="","",IF($S139&gt;=0.5,"PROCEDE BAJA","EVALUAR REPARACION"))</f>
        <v/>
      </c>
      <c r="U139" s="34"/>
      <c r="V139" s="33"/>
      <c r="W139" s="33"/>
      <c r="X139" s="33"/>
      <c r="Y139" s="33"/>
      <c r="Z139" s="33"/>
      <c r="AA139" s="33"/>
    </row>
    <row r="140" customFormat="false" ht="15" hidden="false" customHeight="false" outlineLevel="0" collapsed="false">
      <c r="A140" s="33"/>
      <c r="B140" s="33"/>
      <c r="C140" s="33"/>
      <c r="D140" s="33"/>
      <c r="E140" s="33"/>
      <c r="F140" s="33"/>
      <c r="G140" s="33"/>
      <c r="H140" s="33"/>
      <c r="I140" s="33"/>
      <c r="J140" s="34"/>
      <c r="K140" s="34"/>
      <c r="L140" s="35" t="str">
        <f aca="false">IF($J140="","",$J140-IF($K140="",0,$K140))</f>
        <v/>
      </c>
      <c r="M140" s="36"/>
      <c r="N140" s="33"/>
      <c r="O140" s="33"/>
      <c r="P140" s="37"/>
      <c r="Q140" s="34"/>
      <c r="R140" s="34"/>
      <c r="S140" s="38" t="str">
        <f aca="false">IF(OR($Q140="",$R140="",$R140=0),"",$Q140/$R140)</f>
        <v/>
      </c>
      <c r="T140" s="18" t="str">
        <f aca="false">IF($S140="","",IF($S140&gt;=0.5,"PROCEDE BAJA","EVALUAR REPARACION"))</f>
        <v/>
      </c>
      <c r="U140" s="34"/>
      <c r="V140" s="33"/>
      <c r="W140" s="33"/>
      <c r="X140" s="33"/>
      <c r="Y140" s="33"/>
      <c r="Z140" s="33"/>
      <c r="AA140" s="33"/>
    </row>
    <row r="141" customFormat="false" ht="15" hidden="false" customHeight="false" outlineLevel="0" collapsed="false">
      <c r="A141" s="33"/>
      <c r="B141" s="33"/>
      <c r="C141" s="33"/>
      <c r="D141" s="33"/>
      <c r="E141" s="33"/>
      <c r="F141" s="33"/>
      <c r="G141" s="33"/>
      <c r="H141" s="33"/>
      <c r="I141" s="33"/>
      <c r="J141" s="34"/>
      <c r="K141" s="34"/>
      <c r="L141" s="35" t="str">
        <f aca="false">IF($J141="","",$J141-IF($K141="",0,$K141))</f>
        <v/>
      </c>
      <c r="M141" s="36"/>
      <c r="N141" s="33"/>
      <c r="O141" s="33"/>
      <c r="P141" s="37"/>
      <c r="Q141" s="34"/>
      <c r="R141" s="34"/>
      <c r="S141" s="38" t="str">
        <f aca="false">IF(OR($Q141="",$R141="",$R141=0),"",$Q141/$R141)</f>
        <v/>
      </c>
      <c r="T141" s="18" t="str">
        <f aca="false">IF($S141="","",IF($S141&gt;=0.5,"PROCEDE BAJA","EVALUAR REPARACION"))</f>
        <v/>
      </c>
      <c r="U141" s="34"/>
      <c r="V141" s="33"/>
      <c r="W141" s="33"/>
      <c r="X141" s="33"/>
      <c r="Y141" s="33"/>
      <c r="Z141" s="33"/>
      <c r="AA141" s="33"/>
    </row>
    <row r="142" customFormat="false" ht="15" hidden="false" customHeight="false" outlineLevel="0" collapsed="false">
      <c r="A142" s="33"/>
      <c r="B142" s="33"/>
      <c r="C142" s="33"/>
      <c r="D142" s="33"/>
      <c r="E142" s="33"/>
      <c r="F142" s="33"/>
      <c r="G142" s="33"/>
      <c r="H142" s="33"/>
      <c r="I142" s="33"/>
      <c r="J142" s="34"/>
      <c r="K142" s="34"/>
      <c r="L142" s="35" t="str">
        <f aca="false">IF($J142="","",$J142-IF($K142="",0,$K142))</f>
        <v/>
      </c>
      <c r="M142" s="36"/>
      <c r="N142" s="33"/>
      <c r="O142" s="33"/>
      <c r="P142" s="37"/>
      <c r="Q142" s="34"/>
      <c r="R142" s="34"/>
      <c r="S142" s="38" t="str">
        <f aca="false">IF(OR($Q142="",$R142="",$R142=0),"",$Q142/$R142)</f>
        <v/>
      </c>
      <c r="T142" s="18" t="str">
        <f aca="false">IF($S142="","",IF($S142&gt;=0.5,"PROCEDE BAJA","EVALUAR REPARACION"))</f>
        <v/>
      </c>
      <c r="U142" s="34"/>
      <c r="V142" s="33"/>
      <c r="W142" s="33"/>
      <c r="X142" s="33"/>
      <c r="Y142" s="33"/>
      <c r="Z142" s="33"/>
      <c r="AA142" s="33"/>
    </row>
    <row r="143" customFormat="false" ht="15" hidden="false" customHeight="false" outlineLevel="0" collapsed="false">
      <c r="A143" s="33"/>
      <c r="B143" s="33"/>
      <c r="C143" s="33"/>
      <c r="D143" s="33"/>
      <c r="E143" s="33"/>
      <c r="F143" s="33"/>
      <c r="G143" s="33"/>
      <c r="H143" s="33"/>
      <c r="I143" s="33"/>
      <c r="J143" s="34"/>
      <c r="K143" s="34"/>
      <c r="L143" s="35" t="str">
        <f aca="false">IF($J143="","",$J143-IF($K143="",0,$K143))</f>
        <v/>
      </c>
      <c r="M143" s="36"/>
      <c r="N143" s="33"/>
      <c r="O143" s="33"/>
      <c r="P143" s="37"/>
      <c r="Q143" s="34"/>
      <c r="R143" s="34"/>
      <c r="S143" s="38" t="str">
        <f aca="false">IF(OR($Q143="",$R143="",$R143=0),"",$Q143/$R143)</f>
        <v/>
      </c>
      <c r="T143" s="18" t="str">
        <f aca="false">IF($S143="","",IF($S143&gt;=0.5,"PROCEDE BAJA","EVALUAR REPARACION"))</f>
        <v/>
      </c>
      <c r="U143" s="34"/>
      <c r="V143" s="33"/>
      <c r="W143" s="33"/>
      <c r="X143" s="33"/>
      <c r="Y143" s="33"/>
      <c r="Z143" s="33"/>
      <c r="AA143" s="33"/>
    </row>
    <row r="144" customFormat="false" ht="15" hidden="false" customHeight="false" outlineLevel="0" collapsed="false">
      <c r="A144" s="33"/>
      <c r="B144" s="33"/>
      <c r="C144" s="33"/>
      <c r="D144" s="33"/>
      <c r="E144" s="33"/>
      <c r="F144" s="33"/>
      <c r="G144" s="33"/>
      <c r="H144" s="33"/>
      <c r="I144" s="33"/>
      <c r="J144" s="34"/>
      <c r="K144" s="34"/>
      <c r="L144" s="35" t="str">
        <f aca="false">IF($J144="","",$J144-IF($K144="",0,$K144))</f>
        <v/>
      </c>
      <c r="M144" s="36"/>
      <c r="N144" s="33"/>
      <c r="O144" s="33"/>
      <c r="P144" s="37"/>
      <c r="Q144" s="34"/>
      <c r="R144" s="34"/>
      <c r="S144" s="38" t="str">
        <f aca="false">IF(OR($Q144="",$R144="",$R144=0),"",$Q144/$R144)</f>
        <v/>
      </c>
      <c r="T144" s="18" t="str">
        <f aca="false">IF($S144="","",IF($S144&gt;=0.5,"PROCEDE BAJA","EVALUAR REPARACION"))</f>
        <v/>
      </c>
      <c r="U144" s="34"/>
      <c r="V144" s="33"/>
      <c r="W144" s="33"/>
      <c r="X144" s="33"/>
      <c r="Y144" s="33"/>
      <c r="Z144" s="33"/>
      <c r="AA144" s="33"/>
    </row>
    <row r="145" customFormat="false" ht="15" hidden="false" customHeight="false" outlineLevel="0" collapsed="false">
      <c r="A145" s="33"/>
      <c r="B145" s="33"/>
      <c r="C145" s="33"/>
      <c r="D145" s="33"/>
      <c r="E145" s="33"/>
      <c r="F145" s="33"/>
      <c r="G145" s="33"/>
      <c r="H145" s="33"/>
      <c r="I145" s="33"/>
      <c r="J145" s="34"/>
      <c r="K145" s="34"/>
      <c r="L145" s="35" t="str">
        <f aca="false">IF($J145="","",$J145-IF($K145="",0,$K145))</f>
        <v/>
      </c>
      <c r="M145" s="36"/>
      <c r="N145" s="33"/>
      <c r="O145" s="33"/>
      <c r="P145" s="37"/>
      <c r="Q145" s="34"/>
      <c r="R145" s="34"/>
      <c r="S145" s="38" t="str">
        <f aca="false">IF(OR($Q145="",$R145="",$R145=0),"",$Q145/$R145)</f>
        <v/>
      </c>
      <c r="T145" s="18" t="str">
        <f aca="false">IF($S145="","",IF($S145&gt;=0.5,"PROCEDE BAJA","EVALUAR REPARACION"))</f>
        <v/>
      </c>
      <c r="U145" s="34"/>
      <c r="V145" s="33"/>
      <c r="W145" s="33"/>
      <c r="X145" s="33"/>
      <c r="Y145" s="33"/>
      <c r="Z145" s="33"/>
      <c r="AA145" s="33"/>
    </row>
    <row r="146" customFormat="false" ht="15" hidden="false" customHeight="false" outlineLevel="0" collapsed="false">
      <c r="A146" s="33"/>
      <c r="B146" s="33"/>
      <c r="C146" s="33"/>
      <c r="D146" s="33"/>
      <c r="E146" s="33"/>
      <c r="F146" s="33"/>
      <c r="G146" s="33"/>
      <c r="H146" s="33"/>
      <c r="I146" s="33"/>
      <c r="J146" s="34"/>
      <c r="K146" s="34"/>
      <c r="L146" s="35" t="str">
        <f aca="false">IF($J146="","",$J146-IF($K146="",0,$K146))</f>
        <v/>
      </c>
      <c r="M146" s="36"/>
      <c r="N146" s="33"/>
      <c r="O146" s="33"/>
      <c r="P146" s="37"/>
      <c r="Q146" s="34"/>
      <c r="R146" s="34"/>
      <c r="S146" s="38" t="str">
        <f aca="false">IF(OR($Q146="",$R146="",$R146=0),"",$Q146/$R146)</f>
        <v/>
      </c>
      <c r="T146" s="18" t="str">
        <f aca="false">IF($S146="","",IF($S146&gt;=0.5,"PROCEDE BAJA","EVALUAR REPARACION"))</f>
        <v/>
      </c>
      <c r="U146" s="34"/>
      <c r="V146" s="33"/>
      <c r="W146" s="33"/>
      <c r="X146" s="33"/>
      <c r="Y146" s="33"/>
      <c r="Z146" s="33"/>
      <c r="AA146" s="33"/>
    </row>
    <row r="147" customFormat="false" ht="15" hidden="false" customHeight="false" outlineLevel="0" collapsed="false">
      <c r="A147" s="33"/>
      <c r="B147" s="33"/>
      <c r="C147" s="33"/>
      <c r="D147" s="33"/>
      <c r="E147" s="33"/>
      <c r="F147" s="33"/>
      <c r="G147" s="33"/>
      <c r="H147" s="33"/>
      <c r="I147" s="33"/>
      <c r="J147" s="34"/>
      <c r="K147" s="34"/>
      <c r="L147" s="35" t="str">
        <f aca="false">IF($J147="","",$J147-IF($K147="",0,$K147))</f>
        <v/>
      </c>
      <c r="M147" s="36"/>
      <c r="N147" s="33"/>
      <c r="O147" s="33"/>
      <c r="P147" s="37"/>
      <c r="Q147" s="34"/>
      <c r="R147" s="34"/>
      <c r="S147" s="38" t="str">
        <f aca="false">IF(OR($Q147="",$R147="",$R147=0),"",$Q147/$R147)</f>
        <v/>
      </c>
      <c r="T147" s="18" t="str">
        <f aca="false">IF($S147="","",IF($S147&gt;=0.5,"PROCEDE BAJA","EVALUAR REPARACION"))</f>
        <v/>
      </c>
      <c r="U147" s="34"/>
      <c r="V147" s="33"/>
      <c r="W147" s="33"/>
      <c r="X147" s="33"/>
      <c r="Y147" s="33"/>
      <c r="Z147" s="33"/>
      <c r="AA147" s="33"/>
    </row>
    <row r="148" customFormat="false" ht="15" hidden="false" customHeight="false" outlineLevel="0" collapsed="false">
      <c r="A148" s="33"/>
      <c r="B148" s="33"/>
      <c r="C148" s="33"/>
      <c r="D148" s="33"/>
      <c r="E148" s="33"/>
      <c r="F148" s="33"/>
      <c r="G148" s="33"/>
      <c r="H148" s="33"/>
      <c r="I148" s="33"/>
      <c r="J148" s="34"/>
      <c r="K148" s="34"/>
      <c r="L148" s="35" t="str">
        <f aca="false">IF($J148="","",$J148-IF($K148="",0,$K148))</f>
        <v/>
      </c>
      <c r="M148" s="36"/>
      <c r="N148" s="33"/>
      <c r="O148" s="33"/>
      <c r="P148" s="37"/>
      <c r="Q148" s="34"/>
      <c r="R148" s="34"/>
      <c r="S148" s="38" t="str">
        <f aca="false">IF(OR($Q148="",$R148="",$R148=0),"",$Q148/$R148)</f>
        <v/>
      </c>
      <c r="T148" s="18" t="str">
        <f aca="false">IF($S148="","",IF($S148&gt;=0.5,"PROCEDE BAJA","EVALUAR REPARACION"))</f>
        <v/>
      </c>
      <c r="U148" s="34"/>
      <c r="V148" s="33"/>
      <c r="W148" s="33"/>
      <c r="X148" s="33"/>
      <c r="Y148" s="33"/>
      <c r="Z148" s="33"/>
      <c r="AA148" s="33"/>
    </row>
    <row r="149" customFormat="false" ht="15" hidden="false" customHeight="false" outlineLevel="0" collapsed="false">
      <c r="A149" s="33"/>
      <c r="B149" s="33"/>
      <c r="C149" s="33"/>
      <c r="D149" s="33"/>
      <c r="E149" s="33"/>
      <c r="F149" s="33"/>
      <c r="G149" s="33"/>
      <c r="H149" s="33"/>
      <c r="I149" s="33"/>
      <c r="J149" s="34"/>
      <c r="K149" s="34"/>
      <c r="L149" s="35" t="str">
        <f aca="false">IF($J149="","",$J149-IF($K149="",0,$K149))</f>
        <v/>
      </c>
      <c r="M149" s="36"/>
      <c r="N149" s="33"/>
      <c r="O149" s="33"/>
      <c r="P149" s="37"/>
      <c r="Q149" s="34"/>
      <c r="R149" s="34"/>
      <c r="S149" s="38" t="str">
        <f aca="false">IF(OR($Q149="",$R149="",$R149=0),"",$Q149/$R149)</f>
        <v/>
      </c>
      <c r="T149" s="18" t="str">
        <f aca="false">IF($S149="","",IF($S149&gt;=0.5,"PROCEDE BAJA","EVALUAR REPARACION"))</f>
        <v/>
      </c>
      <c r="U149" s="34"/>
      <c r="V149" s="33"/>
      <c r="W149" s="33"/>
      <c r="X149" s="33"/>
      <c r="Y149" s="33"/>
      <c r="Z149" s="33"/>
      <c r="AA149" s="33"/>
    </row>
    <row r="150" customFormat="false" ht="15" hidden="false" customHeight="false" outlineLevel="0" collapsed="false">
      <c r="A150" s="33"/>
      <c r="B150" s="33"/>
      <c r="C150" s="33"/>
      <c r="D150" s="33"/>
      <c r="E150" s="33"/>
      <c r="F150" s="33"/>
      <c r="G150" s="33"/>
      <c r="H150" s="33"/>
      <c r="I150" s="33"/>
      <c r="J150" s="34"/>
      <c r="K150" s="34"/>
      <c r="L150" s="35" t="str">
        <f aca="false">IF($J150="","",$J150-IF($K150="",0,$K150))</f>
        <v/>
      </c>
      <c r="M150" s="36"/>
      <c r="N150" s="33"/>
      <c r="O150" s="33"/>
      <c r="P150" s="37"/>
      <c r="Q150" s="34"/>
      <c r="R150" s="34"/>
      <c r="S150" s="38" t="str">
        <f aca="false">IF(OR($Q150="",$R150="",$R150=0),"",$Q150/$R150)</f>
        <v/>
      </c>
      <c r="T150" s="18" t="str">
        <f aca="false">IF($S150="","",IF($S150&gt;=0.5,"PROCEDE BAJA","EVALUAR REPARACION"))</f>
        <v/>
      </c>
      <c r="U150" s="34"/>
      <c r="V150" s="33"/>
      <c r="W150" s="33"/>
      <c r="X150" s="33"/>
      <c r="Y150" s="33"/>
      <c r="Z150" s="33"/>
      <c r="AA150" s="33"/>
    </row>
    <row r="151" customFormat="false" ht="15" hidden="false" customHeight="false" outlineLevel="0" collapsed="false">
      <c r="A151" s="33"/>
      <c r="B151" s="33"/>
      <c r="C151" s="33"/>
      <c r="D151" s="33"/>
      <c r="E151" s="33"/>
      <c r="F151" s="33"/>
      <c r="G151" s="33"/>
      <c r="H151" s="33"/>
      <c r="I151" s="33"/>
      <c r="J151" s="34"/>
      <c r="K151" s="34"/>
      <c r="L151" s="35" t="str">
        <f aca="false">IF($J151="","",$J151-IF($K151="",0,$K151))</f>
        <v/>
      </c>
      <c r="M151" s="36"/>
      <c r="N151" s="33"/>
      <c r="O151" s="33"/>
      <c r="P151" s="37"/>
      <c r="Q151" s="34"/>
      <c r="R151" s="34"/>
      <c r="S151" s="38" t="str">
        <f aca="false">IF(OR($Q151="",$R151="",$R151=0),"",$Q151/$R151)</f>
        <v/>
      </c>
      <c r="T151" s="18" t="str">
        <f aca="false">IF($S151="","",IF($S151&gt;=0.5,"PROCEDE BAJA","EVALUAR REPARACION"))</f>
        <v/>
      </c>
      <c r="U151" s="34"/>
      <c r="V151" s="33"/>
      <c r="W151" s="33"/>
      <c r="X151" s="33"/>
      <c r="Y151" s="33"/>
      <c r="Z151" s="33"/>
      <c r="AA151" s="33"/>
    </row>
    <row r="152" customFormat="false" ht="15" hidden="false" customHeight="false" outlineLevel="0" collapsed="false">
      <c r="A152" s="33"/>
      <c r="B152" s="33"/>
      <c r="C152" s="33"/>
      <c r="D152" s="33"/>
      <c r="E152" s="33"/>
      <c r="F152" s="33"/>
      <c r="G152" s="33"/>
      <c r="H152" s="33"/>
      <c r="I152" s="33"/>
      <c r="J152" s="34"/>
      <c r="K152" s="34"/>
      <c r="L152" s="35" t="str">
        <f aca="false">IF($J152="","",$J152-IF($K152="",0,$K152))</f>
        <v/>
      </c>
      <c r="M152" s="36"/>
      <c r="N152" s="33"/>
      <c r="O152" s="33"/>
      <c r="P152" s="37"/>
      <c r="Q152" s="34"/>
      <c r="R152" s="34"/>
      <c r="S152" s="38" t="str">
        <f aca="false">IF(OR($Q152="",$R152="",$R152=0),"",$Q152/$R152)</f>
        <v/>
      </c>
      <c r="T152" s="18" t="str">
        <f aca="false">IF($S152="","",IF($S152&gt;=0.5,"PROCEDE BAJA","EVALUAR REPARACION"))</f>
        <v/>
      </c>
      <c r="U152" s="34"/>
      <c r="V152" s="33"/>
      <c r="W152" s="33"/>
      <c r="X152" s="33"/>
      <c r="Y152" s="33"/>
      <c r="Z152" s="33"/>
      <c r="AA152" s="33"/>
    </row>
    <row r="153" customFormat="false" ht="15" hidden="false" customHeight="false" outlineLevel="0" collapsed="false">
      <c r="A153" s="33"/>
      <c r="B153" s="33"/>
      <c r="C153" s="33"/>
      <c r="D153" s="33"/>
      <c r="E153" s="33"/>
      <c r="F153" s="33"/>
      <c r="G153" s="33"/>
      <c r="H153" s="33"/>
      <c r="I153" s="33"/>
      <c r="J153" s="34"/>
      <c r="K153" s="34"/>
      <c r="L153" s="35" t="str">
        <f aca="false">IF($J153="","",$J153-IF($K153="",0,$K153))</f>
        <v/>
      </c>
      <c r="M153" s="36"/>
      <c r="N153" s="33"/>
      <c r="O153" s="33"/>
      <c r="P153" s="37"/>
      <c r="Q153" s="34"/>
      <c r="R153" s="34"/>
      <c r="S153" s="38" t="str">
        <f aca="false">IF(OR($Q153="",$R153="",$R153=0),"",$Q153/$R153)</f>
        <v/>
      </c>
      <c r="T153" s="18" t="str">
        <f aca="false">IF($S153="","",IF($S153&gt;=0.5,"PROCEDE BAJA","EVALUAR REPARACION"))</f>
        <v/>
      </c>
      <c r="U153" s="34"/>
      <c r="V153" s="33"/>
      <c r="W153" s="33"/>
      <c r="X153" s="33"/>
      <c r="Y153" s="33"/>
      <c r="Z153" s="33"/>
      <c r="AA153" s="33"/>
    </row>
    <row r="154" customFormat="false" ht="15" hidden="false" customHeight="false" outlineLevel="0" collapsed="false">
      <c r="A154" s="33"/>
      <c r="B154" s="33"/>
      <c r="C154" s="33"/>
      <c r="D154" s="33"/>
      <c r="E154" s="33"/>
      <c r="F154" s="33"/>
      <c r="G154" s="33"/>
      <c r="H154" s="33"/>
      <c r="I154" s="33"/>
      <c r="J154" s="34"/>
      <c r="K154" s="34"/>
      <c r="L154" s="35" t="str">
        <f aca="false">IF($J154="","",$J154-IF($K154="",0,$K154))</f>
        <v/>
      </c>
      <c r="M154" s="36"/>
      <c r="N154" s="33"/>
      <c r="O154" s="33"/>
      <c r="P154" s="37"/>
      <c r="Q154" s="34"/>
      <c r="R154" s="34"/>
      <c r="S154" s="38" t="str">
        <f aca="false">IF(OR($Q154="",$R154="",$R154=0),"",$Q154/$R154)</f>
        <v/>
      </c>
      <c r="T154" s="18" t="str">
        <f aca="false">IF($S154="","",IF($S154&gt;=0.5,"PROCEDE BAJA","EVALUAR REPARACION"))</f>
        <v/>
      </c>
      <c r="U154" s="34"/>
      <c r="V154" s="33"/>
      <c r="W154" s="33"/>
      <c r="X154" s="33"/>
      <c r="Y154" s="33"/>
      <c r="Z154" s="33"/>
      <c r="AA154" s="33"/>
    </row>
    <row r="155" customFormat="false" ht="15" hidden="false" customHeight="false" outlineLevel="0" collapsed="false">
      <c r="A155" s="33"/>
      <c r="B155" s="33"/>
      <c r="C155" s="33"/>
      <c r="D155" s="33"/>
      <c r="E155" s="33"/>
      <c r="F155" s="33"/>
      <c r="G155" s="33"/>
      <c r="H155" s="33"/>
      <c r="I155" s="33"/>
      <c r="J155" s="34"/>
      <c r="K155" s="34"/>
      <c r="L155" s="35" t="str">
        <f aca="false">IF($J155="","",$J155-IF($K155="",0,$K155))</f>
        <v/>
      </c>
      <c r="M155" s="36"/>
      <c r="N155" s="33"/>
      <c r="O155" s="33"/>
      <c r="P155" s="37"/>
      <c r="Q155" s="34"/>
      <c r="R155" s="34"/>
      <c r="S155" s="38" t="str">
        <f aca="false">IF(OR($Q155="",$R155="",$R155=0),"",$Q155/$R155)</f>
        <v/>
      </c>
      <c r="T155" s="18" t="str">
        <f aca="false">IF($S155="","",IF($S155&gt;=0.5,"PROCEDE BAJA","EVALUAR REPARACION"))</f>
        <v/>
      </c>
      <c r="U155" s="34"/>
      <c r="V155" s="33"/>
      <c r="W155" s="33"/>
      <c r="X155" s="33"/>
      <c r="Y155" s="33"/>
      <c r="Z155" s="33"/>
      <c r="AA155" s="33"/>
    </row>
    <row r="156" customFormat="false" ht="15" hidden="false" customHeight="false" outlineLevel="0" collapsed="false">
      <c r="A156" s="33"/>
      <c r="B156" s="33"/>
      <c r="C156" s="33"/>
      <c r="D156" s="33"/>
      <c r="E156" s="33"/>
      <c r="F156" s="33"/>
      <c r="G156" s="33"/>
      <c r="H156" s="33"/>
      <c r="I156" s="33"/>
      <c r="J156" s="34"/>
      <c r="K156" s="34"/>
      <c r="L156" s="35" t="str">
        <f aca="false">IF($J156="","",$J156-IF($K156="",0,$K156))</f>
        <v/>
      </c>
      <c r="M156" s="36"/>
      <c r="N156" s="33"/>
      <c r="O156" s="33"/>
      <c r="P156" s="37"/>
      <c r="Q156" s="34"/>
      <c r="R156" s="34"/>
      <c r="S156" s="38" t="str">
        <f aca="false">IF(OR($Q156="",$R156="",$R156=0),"",$Q156/$R156)</f>
        <v/>
      </c>
      <c r="T156" s="18" t="str">
        <f aca="false">IF($S156="","",IF($S156&gt;=0.5,"PROCEDE BAJA","EVALUAR REPARACION"))</f>
        <v/>
      </c>
      <c r="U156" s="34"/>
      <c r="V156" s="33"/>
      <c r="W156" s="33"/>
      <c r="X156" s="33"/>
      <c r="Y156" s="33"/>
      <c r="Z156" s="33"/>
      <c r="AA156" s="33"/>
    </row>
    <row r="157" customFormat="false" ht="15" hidden="false" customHeight="false" outlineLevel="0" collapsed="false">
      <c r="A157" s="33"/>
      <c r="B157" s="33"/>
      <c r="C157" s="33"/>
      <c r="D157" s="33"/>
      <c r="E157" s="33"/>
      <c r="F157" s="33"/>
      <c r="G157" s="33"/>
      <c r="H157" s="33"/>
      <c r="I157" s="33"/>
      <c r="J157" s="34"/>
      <c r="K157" s="34"/>
      <c r="L157" s="35" t="str">
        <f aca="false">IF($J157="","",$J157-IF($K157="",0,$K157))</f>
        <v/>
      </c>
      <c r="M157" s="36"/>
      <c r="N157" s="33"/>
      <c r="O157" s="33"/>
      <c r="P157" s="37"/>
      <c r="Q157" s="34"/>
      <c r="R157" s="34"/>
      <c r="S157" s="38" t="str">
        <f aca="false">IF(OR($Q157="",$R157="",$R157=0),"",$Q157/$R157)</f>
        <v/>
      </c>
      <c r="T157" s="18" t="str">
        <f aca="false">IF($S157="","",IF($S157&gt;=0.5,"PROCEDE BAJA","EVALUAR REPARACION"))</f>
        <v/>
      </c>
      <c r="U157" s="34"/>
      <c r="V157" s="33"/>
      <c r="W157" s="33"/>
      <c r="X157" s="33"/>
      <c r="Y157" s="33"/>
      <c r="Z157" s="33"/>
      <c r="AA157" s="33"/>
    </row>
  </sheetData>
  <mergeCells count="2">
    <mergeCell ref="A1:AA1"/>
    <mergeCell ref="A2:AA2"/>
  </mergeCells>
  <dataValidations count="4">
    <dataValidation allowBlank="true" error="Seleccione un valor de la lista desplegable." errorStyle="stop" errorTitle="Valor no permitido" operator="between" showDropDown="false" showErrorMessage="true" showInputMessage="false" sqref="N7:N157" type="list">
      <formula1>"BUENO,REGULAR,MALO,INSERVIBLE"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O7:O157" type="list">
      <formula1>"OBSOLESCENCIA,INSERVIBLE,CASO_FORTUITO,DESUSO,DONACION_O_TRASLADO"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V7:V157" type="list">
      <formula1>"VENTA,REMATE,DESTRUCCION,DONACION,RECICLAJE_RAEE,GESTOR_AMBIENTAL"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Y7:Y157" type="list">
      <formula1>"PROPUESTO,EN_REVISION,APROBADO_COMITE,RECHAZADO,RESOLUCION_EMITIDA,EJECUTADO"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6" min="4" style="1" width="16"/>
    <col collapsed="false" customWidth="true" hidden="false" outlineLevel="0" max="8" min="7" style="1" width="22"/>
    <col collapsed="false" customWidth="true" hidden="false" outlineLevel="0" max="9" min="9" style="1" width="14"/>
    <col collapsed="false" customWidth="true" hidden="false" outlineLevel="0" max="12" min="10" style="1" width="16"/>
    <col collapsed="false" customWidth="true" hidden="false" outlineLevel="0" max="14" min="13" style="1" width="13"/>
    <col collapsed="false" customWidth="true" hidden="false" outlineLevel="0" max="15" min="15" style="1" width="22"/>
    <col collapsed="false" customWidth="true" hidden="false" outlineLevel="0" max="16" min="16" style="1" width="44"/>
    <col collapsed="false" customWidth="true" hidden="false" outlineLevel="0" max="18" min="17" style="1" width="16"/>
    <col collapsed="false" customWidth="true" hidden="false" outlineLevel="0" max="19" min="19" style="1" width="14"/>
    <col collapsed="false" customWidth="true" hidden="false" outlineLevel="0" max="20" min="20" style="1" width="18"/>
    <col collapsed="false" customWidth="true" hidden="false" outlineLevel="0" max="21" min="21" style="1" width="14"/>
    <col collapsed="false" customWidth="true" hidden="false" outlineLevel="0" max="22" min="22" style="1" width="22"/>
    <col collapsed="false" customWidth="true" hidden="false" outlineLevel="0" max="23" min="23" style="1" width="24"/>
    <col collapsed="false" customWidth="true" hidden="false" outlineLevel="0" max="24" min="24" style="1" width="28"/>
    <col collapsed="false" customWidth="true" hidden="false" outlineLevel="0" max="25" min="25" style="1" width="22"/>
    <col collapsed="false" customWidth="true" hidden="false" outlineLevel="0" max="27" min="26" style="1" width="18"/>
  </cols>
  <sheetData>
    <row r="1" customFormat="false" ht="15" hidden="false" customHeight="false" outlineLevel="0" collapsed="false">
      <c r="A1" s="21" t="s">
        <v>108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customFormat="false" ht="15" hidden="false" customHeight="false" outlineLevel="0" collapsed="false">
      <c r="A2" s="22" t="s">
        <v>130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customFormat="false" ht="15" hidden="false" customHeight="false" outlineLevel="0" collapsed="false">
      <c r="A3" s="3" t="s">
        <v>110</v>
      </c>
      <c r="B3" s="23" t="s">
        <v>111</v>
      </c>
      <c r="D3" s="3" t="s">
        <v>112</v>
      </c>
      <c r="E3" s="24"/>
    </row>
    <row r="4" customFormat="false" ht="15" hidden="false" customHeight="false" outlineLevel="0" collapsed="false">
      <c r="A4" s="25" t="s">
        <v>113</v>
      </c>
    </row>
    <row r="6" customFormat="false" ht="33.75" hidden="false" customHeight="true" outlineLevel="0" collapsed="false">
      <c r="A6" s="26" t="s">
        <v>44</v>
      </c>
      <c r="B6" s="26" t="s">
        <v>47</v>
      </c>
      <c r="C6" s="26" t="s">
        <v>49</v>
      </c>
      <c r="D6" s="26" t="s">
        <v>50</v>
      </c>
      <c r="E6" s="26" t="s">
        <v>51</v>
      </c>
      <c r="F6" s="26" t="s">
        <v>52</v>
      </c>
      <c r="G6" s="26" t="s">
        <v>53</v>
      </c>
      <c r="H6" s="26" t="s">
        <v>54</v>
      </c>
      <c r="I6" s="26" t="s">
        <v>55</v>
      </c>
      <c r="J6" s="26" t="s">
        <v>56</v>
      </c>
      <c r="K6" s="26" t="s">
        <v>58</v>
      </c>
      <c r="L6" s="27" t="s">
        <v>60</v>
      </c>
      <c r="M6" s="26" t="s">
        <v>63</v>
      </c>
      <c r="N6" s="26" t="s">
        <v>66</v>
      </c>
      <c r="O6" s="26" t="s">
        <v>67</v>
      </c>
      <c r="P6" s="26" t="s">
        <v>69</v>
      </c>
      <c r="Q6" s="26" t="s">
        <v>71</v>
      </c>
      <c r="R6" s="26" t="s">
        <v>73</v>
      </c>
      <c r="S6" s="27" t="s">
        <v>75</v>
      </c>
      <c r="T6" s="27" t="s">
        <v>77</v>
      </c>
      <c r="U6" s="26" t="s">
        <v>79</v>
      </c>
      <c r="V6" s="26" t="s">
        <v>81</v>
      </c>
      <c r="W6" s="26" t="s">
        <v>83</v>
      </c>
      <c r="X6" s="26" t="s">
        <v>85</v>
      </c>
      <c r="Y6" s="26" t="s">
        <v>87</v>
      </c>
      <c r="Z6" s="26" t="s">
        <v>89</v>
      </c>
      <c r="AA6" s="26" t="s">
        <v>91</v>
      </c>
    </row>
    <row r="7" customFormat="false" ht="22.35" hidden="false" customHeight="false" outlineLevel="0" collapsed="false">
      <c r="A7" s="28" t="s">
        <v>114</v>
      </c>
      <c r="B7" s="28" t="s">
        <v>115</v>
      </c>
      <c r="C7" s="28" t="s">
        <v>116</v>
      </c>
      <c r="D7" s="28" t="s">
        <v>117</v>
      </c>
      <c r="E7" s="28" t="s">
        <v>118</v>
      </c>
      <c r="F7" s="28" t="s">
        <v>119</v>
      </c>
      <c r="G7" s="28" t="s">
        <v>120</v>
      </c>
      <c r="H7" s="28" t="s">
        <v>121</v>
      </c>
      <c r="I7" s="28" t="s">
        <v>122</v>
      </c>
      <c r="J7" s="29" t="n">
        <v>490000</v>
      </c>
      <c r="K7" s="29" t="n">
        <v>338333</v>
      </c>
      <c r="L7" s="29" t="n">
        <f aca="false">IF($J7="","",$J7-IF($K7="",0,$K7))</f>
        <v>151667</v>
      </c>
      <c r="M7" s="30" t="n">
        <v>0.6926</v>
      </c>
      <c r="N7" s="28" t="s">
        <v>123</v>
      </c>
      <c r="O7" s="28" t="s">
        <v>131</v>
      </c>
      <c r="P7" s="31" t="s">
        <v>132</v>
      </c>
      <c r="Q7" s="29" t="n">
        <v>900000</v>
      </c>
      <c r="R7" s="29" t="n">
        <v>1500000</v>
      </c>
      <c r="S7" s="32" t="n">
        <f aca="false">IF(OR($Q7="",$R7="",$R7=0),"",$Q7/$R7)</f>
        <v>0.6</v>
      </c>
      <c r="T7" s="28" t="str">
        <f aca="false">IF($S7="","",IF($S7&gt;=0.5,"PROCEDE BAJA","EVALUAR REPARACION"))</f>
        <v>PROCEDE BAJA</v>
      </c>
      <c r="U7" s="29" t="n">
        <v>0</v>
      </c>
      <c r="V7" s="28" t="s">
        <v>126</v>
      </c>
      <c r="W7" s="28" t="s">
        <v>127</v>
      </c>
      <c r="X7" s="28" t="s">
        <v>128</v>
      </c>
      <c r="Y7" s="28" t="s">
        <v>129</v>
      </c>
      <c r="Z7" s="28"/>
      <c r="AA7" s="28"/>
    </row>
    <row r="8" customFormat="false" ht="15" hidden="false" customHeight="false" outlineLevel="0" collapsed="false">
      <c r="A8" s="33"/>
      <c r="B8" s="33"/>
      <c r="C8" s="33"/>
      <c r="D8" s="33"/>
      <c r="E8" s="33"/>
      <c r="F8" s="33"/>
      <c r="G8" s="33"/>
      <c r="H8" s="33"/>
      <c r="I8" s="33"/>
      <c r="J8" s="34"/>
      <c r="K8" s="34"/>
      <c r="L8" s="35" t="str">
        <f aca="false">IF($J8="","",$J8-IF($K8="",0,$K8))</f>
        <v/>
      </c>
      <c r="M8" s="36"/>
      <c r="N8" s="33"/>
      <c r="O8" s="33"/>
      <c r="P8" s="37"/>
      <c r="Q8" s="34"/>
      <c r="R8" s="34"/>
      <c r="S8" s="38" t="str">
        <f aca="false">IF(OR($Q8="",$R8="",$R8=0),"",$Q8/$R8)</f>
        <v/>
      </c>
      <c r="T8" s="18" t="str">
        <f aca="false">IF($S8="","",IF($S8&gt;=0.5,"PROCEDE BAJA","EVALUAR REPARACION"))</f>
        <v/>
      </c>
      <c r="U8" s="34"/>
      <c r="V8" s="33"/>
      <c r="W8" s="33"/>
      <c r="X8" s="33"/>
      <c r="Y8" s="33"/>
      <c r="Z8" s="33"/>
      <c r="AA8" s="33"/>
    </row>
    <row r="9" customFormat="false" ht="15" hidden="false" customHeight="false" outlineLevel="0" collapsed="false">
      <c r="A9" s="33"/>
      <c r="B9" s="33"/>
      <c r="C9" s="33"/>
      <c r="D9" s="33"/>
      <c r="E9" s="33"/>
      <c r="F9" s="33"/>
      <c r="G9" s="33"/>
      <c r="H9" s="33"/>
      <c r="I9" s="33"/>
      <c r="J9" s="34"/>
      <c r="K9" s="34"/>
      <c r="L9" s="35" t="str">
        <f aca="false">IF($J9="","",$J9-IF($K9="",0,$K9))</f>
        <v/>
      </c>
      <c r="M9" s="36"/>
      <c r="N9" s="33"/>
      <c r="O9" s="33"/>
      <c r="P9" s="37"/>
      <c r="Q9" s="34"/>
      <c r="R9" s="34"/>
      <c r="S9" s="38" t="str">
        <f aca="false">IF(OR($Q9="",$R9="",$R9=0),"",$Q9/$R9)</f>
        <v/>
      </c>
      <c r="T9" s="18" t="str">
        <f aca="false">IF($S9="","",IF($S9&gt;=0.5,"PROCEDE BAJA","EVALUAR REPARACION"))</f>
        <v/>
      </c>
      <c r="U9" s="34"/>
      <c r="V9" s="33"/>
      <c r="W9" s="33"/>
      <c r="X9" s="33"/>
      <c r="Y9" s="33"/>
      <c r="Z9" s="33"/>
      <c r="AA9" s="33"/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3"/>
      <c r="G10" s="33"/>
      <c r="H10" s="33"/>
      <c r="I10" s="33"/>
      <c r="J10" s="34"/>
      <c r="K10" s="34"/>
      <c r="L10" s="35" t="str">
        <f aca="false">IF($J10="","",$J10-IF($K10="",0,$K10))</f>
        <v/>
      </c>
      <c r="M10" s="36"/>
      <c r="N10" s="33"/>
      <c r="O10" s="33"/>
      <c r="P10" s="37"/>
      <c r="Q10" s="34"/>
      <c r="R10" s="34"/>
      <c r="S10" s="38" t="str">
        <f aca="false">IF(OR($Q10="",$R10="",$R10=0),"",$Q10/$R10)</f>
        <v/>
      </c>
      <c r="T10" s="18" t="str">
        <f aca="false">IF($S10="","",IF($S10&gt;=0.5,"PROCEDE BAJA","EVALUAR REPARACION"))</f>
        <v/>
      </c>
      <c r="U10" s="34"/>
      <c r="V10" s="33"/>
      <c r="W10" s="33"/>
      <c r="X10" s="33"/>
      <c r="Y10" s="33"/>
      <c r="Z10" s="33"/>
      <c r="AA10" s="33"/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3"/>
      <c r="G11" s="33"/>
      <c r="H11" s="33"/>
      <c r="I11" s="33"/>
      <c r="J11" s="34"/>
      <c r="K11" s="34"/>
      <c r="L11" s="35" t="str">
        <f aca="false">IF($J11="","",$J11-IF($K11="",0,$K11))</f>
        <v/>
      </c>
      <c r="M11" s="36"/>
      <c r="N11" s="33"/>
      <c r="O11" s="33"/>
      <c r="P11" s="37"/>
      <c r="Q11" s="34"/>
      <c r="R11" s="34"/>
      <c r="S11" s="38" t="str">
        <f aca="false">IF(OR($Q11="",$R11="",$R11=0),"",$Q11/$R11)</f>
        <v/>
      </c>
      <c r="T11" s="18" t="str">
        <f aca="false">IF($S11="","",IF($S11&gt;=0.5,"PROCEDE BAJA","EVALUAR REPARACION"))</f>
        <v/>
      </c>
      <c r="U11" s="34"/>
      <c r="V11" s="33"/>
      <c r="W11" s="33"/>
      <c r="X11" s="33"/>
      <c r="Y11" s="33"/>
      <c r="Z11" s="33"/>
      <c r="AA11" s="33"/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3"/>
      <c r="G12" s="33"/>
      <c r="H12" s="33"/>
      <c r="I12" s="33"/>
      <c r="J12" s="34"/>
      <c r="K12" s="34"/>
      <c r="L12" s="35" t="str">
        <f aca="false">IF($J12="","",$J12-IF($K12="",0,$K12))</f>
        <v/>
      </c>
      <c r="M12" s="36"/>
      <c r="N12" s="33"/>
      <c r="O12" s="33"/>
      <c r="P12" s="37"/>
      <c r="Q12" s="34"/>
      <c r="R12" s="34"/>
      <c r="S12" s="38" t="str">
        <f aca="false">IF(OR($Q12="",$R12="",$R12=0),"",$Q12/$R12)</f>
        <v/>
      </c>
      <c r="T12" s="18" t="str">
        <f aca="false">IF($S12="","",IF($S12&gt;=0.5,"PROCEDE BAJA","EVALUAR REPARACION"))</f>
        <v/>
      </c>
      <c r="U12" s="34"/>
      <c r="V12" s="33"/>
      <c r="W12" s="33"/>
      <c r="X12" s="33"/>
      <c r="Y12" s="33"/>
      <c r="Z12" s="33"/>
      <c r="AA12" s="33"/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3"/>
      <c r="G13" s="33"/>
      <c r="H13" s="33"/>
      <c r="I13" s="33"/>
      <c r="J13" s="34"/>
      <c r="K13" s="34"/>
      <c r="L13" s="35" t="str">
        <f aca="false">IF($J13="","",$J13-IF($K13="",0,$K13))</f>
        <v/>
      </c>
      <c r="M13" s="36"/>
      <c r="N13" s="33"/>
      <c r="O13" s="33"/>
      <c r="P13" s="37"/>
      <c r="Q13" s="34"/>
      <c r="R13" s="34"/>
      <c r="S13" s="38" t="str">
        <f aca="false">IF(OR($Q13="",$R13="",$R13=0),"",$Q13/$R13)</f>
        <v/>
      </c>
      <c r="T13" s="18" t="str">
        <f aca="false">IF($S13="","",IF($S13&gt;=0.5,"PROCEDE BAJA","EVALUAR REPARACION"))</f>
        <v/>
      </c>
      <c r="U13" s="34"/>
      <c r="V13" s="33"/>
      <c r="W13" s="33"/>
      <c r="X13" s="33"/>
      <c r="Y13" s="33"/>
      <c r="Z13" s="33"/>
      <c r="AA13" s="33"/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3"/>
      <c r="G14" s="33"/>
      <c r="H14" s="33"/>
      <c r="I14" s="33"/>
      <c r="J14" s="34"/>
      <c r="K14" s="34"/>
      <c r="L14" s="35" t="str">
        <f aca="false">IF($J14="","",$J14-IF($K14="",0,$K14))</f>
        <v/>
      </c>
      <c r="M14" s="36"/>
      <c r="N14" s="33"/>
      <c r="O14" s="33"/>
      <c r="P14" s="37"/>
      <c r="Q14" s="34"/>
      <c r="R14" s="34"/>
      <c r="S14" s="38" t="str">
        <f aca="false">IF(OR($Q14="",$R14="",$R14=0),"",$Q14/$R14)</f>
        <v/>
      </c>
      <c r="T14" s="18" t="str">
        <f aca="false">IF($S14="","",IF($S14&gt;=0.5,"PROCEDE BAJA","EVALUAR REPARACION"))</f>
        <v/>
      </c>
      <c r="U14" s="34"/>
      <c r="V14" s="33"/>
      <c r="W14" s="33"/>
      <c r="X14" s="33"/>
      <c r="Y14" s="33"/>
      <c r="Z14" s="33"/>
      <c r="AA14" s="33"/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3"/>
      <c r="G15" s="33"/>
      <c r="H15" s="33"/>
      <c r="I15" s="33"/>
      <c r="J15" s="34"/>
      <c r="K15" s="34"/>
      <c r="L15" s="35" t="str">
        <f aca="false">IF($J15="","",$J15-IF($K15="",0,$K15))</f>
        <v/>
      </c>
      <c r="M15" s="36"/>
      <c r="N15" s="33"/>
      <c r="O15" s="33"/>
      <c r="P15" s="37"/>
      <c r="Q15" s="34"/>
      <c r="R15" s="34"/>
      <c r="S15" s="38" t="str">
        <f aca="false">IF(OR($Q15="",$R15="",$R15=0),"",$Q15/$R15)</f>
        <v/>
      </c>
      <c r="T15" s="18" t="str">
        <f aca="false">IF($S15="","",IF($S15&gt;=0.5,"PROCEDE BAJA","EVALUAR REPARACION"))</f>
        <v/>
      </c>
      <c r="U15" s="34"/>
      <c r="V15" s="33"/>
      <c r="W15" s="33"/>
      <c r="X15" s="33"/>
      <c r="Y15" s="33"/>
      <c r="Z15" s="33"/>
      <c r="AA15" s="33"/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3"/>
      <c r="G16" s="33"/>
      <c r="H16" s="33"/>
      <c r="I16" s="33"/>
      <c r="J16" s="34"/>
      <c r="K16" s="34"/>
      <c r="L16" s="35" t="str">
        <f aca="false">IF($J16="","",$J16-IF($K16="",0,$K16))</f>
        <v/>
      </c>
      <c r="M16" s="36"/>
      <c r="N16" s="33"/>
      <c r="O16" s="33"/>
      <c r="P16" s="37"/>
      <c r="Q16" s="34"/>
      <c r="R16" s="34"/>
      <c r="S16" s="38" t="str">
        <f aca="false">IF(OR($Q16="",$R16="",$R16=0),"",$Q16/$R16)</f>
        <v/>
      </c>
      <c r="T16" s="18" t="str">
        <f aca="false">IF($S16="","",IF($S16&gt;=0.5,"PROCEDE BAJA","EVALUAR REPARACION"))</f>
        <v/>
      </c>
      <c r="U16" s="34"/>
      <c r="V16" s="33"/>
      <c r="W16" s="33"/>
      <c r="X16" s="33"/>
      <c r="Y16" s="33"/>
      <c r="Z16" s="33"/>
      <c r="AA16" s="33"/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3"/>
      <c r="G17" s="33"/>
      <c r="H17" s="33"/>
      <c r="I17" s="33"/>
      <c r="J17" s="34"/>
      <c r="K17" s="34"/>
      <c r="L17" s="35" t="str">
        <f aca="false">IF($J17="","",$J17-IF($K17="",0,$K17))</f>
        <v/>
      </c>
      <c r="M17" s="36"/>
      <c r="N17" s="33"/>
      <c r="O17" s="33"/>
      <c r="P17" s="37"/>
      <c r="Q17" s="34"/>
      <c r="R17" s="34"/>
      <c r="S17" s="38" t="str">
        <f aca="false">IF(OR($Q17="",$R17="",$R17=0),"",$Q17/$R17)</f>
        <v/>
      </c>
      <c r="T17" s="18" t="str">
        <f aca="false">IF($S17="","",IF($S17&gt;=0.5,"PROCEDE BAJA","EVALUAR REPARACION"))</f>
        <v/>
      </c>
      <c r="U17" s="34"/>
      <c r="V17" s="33"/>
      <c r="W17" s="33"/>
      <c r="X17" s="33"/>
      <c r="Y17" s="33"/>
      <c r="Z17" s="33"/>
      <c r="AA17" s="33"/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3"/>
      <c r="G18" s="33"/>
      <c r="H18" s="33"/>
      <c r="I18" s="33"/>
      <c r="J18" s="34"/>
      <c r="K18" s="34"/>
      <c r="L18" s="35" t="str">
        <f aca="false">IF($J18="","",$J18-IF($K18="",0,$K18))</f>
        <v/>
      </c>
      <c r="M18" s="36"/>
      <c r="N18" s="33"/>
      <c r="O18" s="33"/>
      <c r="P18" s="37"/>
      <c r="Q18" s="34"/>
      <c r="R18" s="34"/>
      <c r="S18" s="38" t="str">
        <f aca="false">IF(OR($Q18="",$R18="",$R18=0),"",$Q18/$R18)</f>
        <v/>
      </c>
      <c r="T18" s="18" t="str">
        <f aca="false">IF($S18="","",IF($S18&gt;=0.5,"PROCEDE BAJA","EVALUAR REPARACION"))</f>
        <v/>
      </c>
      <c r="U18" s="34"/>
      <c r="V18" s="33"/>
      <c r="W18" s="33"/>
      <c r="X18" s="33"/>
      <c r="Y18" s="33"/>
      <c r="Z18" s="33"/>
      <c r="AA18" s="33"/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3"/>
      <c r="G19" s="33"/>
      <c r="H19" s="33"/>
      <c r="I19" s="33"/>
      <c r="J19" s="34"/>
      <c r="K19" s="34"/>
      <c r="L19" s="35" t="str">
        <f aca="false">IF($J19="","",$J19-IF($K19="",0,$K19))</f>
        <v/>
      </c>
      <c r="M19" s="36"/>
      <c r="N19" s="33"/>
      <c r="O19" s="33"/>
      <c r="P19" s="37"/>
      <c r="Q19" s="34"/>
      <c r="R19" s="34"/>
      <c r="S19" s="38" t="str">
        <f aca="false">IF(OR($Q19="",$R19="",$R19=0),"",$Q19/$R19)</f>
        <v/>
      </c>
      <c r="T19" s="18" t="str">
        <f aca="false">IF($S19="","",IF($S19&gt;=0.5,"PROCEDE BAJA","EVALUAR REPARACION"))</f>
        <v/>
      </c>
      <c r="U19" s="34"/>
      <c r="V19" s="33"/>
      <c r="W19" s="33"/>
      <c r="X19" s="33"/>
      <c r="Y19" s="33"/>
      <c r="Z19" s="33"/>
      <c r="AA19" s="33"/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3"/>
      <c r="G20" s="33"/>
      <c r="H20" s="33"/>
      <c r="I20" s="33"/>
      <c r="J20" s="34"/>
      <c r="K20" s="34"/>
      <c r="L20" s="35" t="str">
        <f aca="false">IF($J20="","",$J20-IF($K20="",0,$K20))</f>
        <v/>
      </c>
      <c r="M20" s="36"/>
      <c r="N20" s="33"/>
      <c r="O20" s="33"/>
      <c r="P20" s="37"/>
      <c r="Q20" s="34"/>
      <c r="R20" s="34"/>
      <c r="S20" s="38" t="str">
        <f aca="false">IF(OR($Q20="",$R20="",$R20=0),"",$Q20/$R20)</f>
        <v/>
      </c>
      <c r="T20" s="18" t="str">
        <f aca="false">IF($S20="","",IF($S20&gt;=0.5,"PROCEDE BAJA","EVALUAR REPARACION"))</f>
        <v/>
      </c>
      <c r="U20" s="34"/>
      <c r="V20" s="33"/>
      <c r="W20" s="33"/>
      <c r="X20" s="33"/>
      <c r="Y20" s="33"/>
      <c r="Z20" s="33"/>
      <c r="AA20" s="33"/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3"/>
      <c r="G21" s="33"/>
      <c r="H21" s="33"/>
      <c r="I21" s="33"/>
      <c r="J21" s="34"/>
      <c r="K21" s="34"/>
      <c r="L21" s="35" t="str">
        <f aca="false">IF($J21="","",$J21-IF($K21="",0,$K21))</f>
        <v/>
      </c>
      <c r="M21" s="36"/>
      <c r="N21" s="33"/>
      <c r="O21" s="33"/>
      <c r="P21" s="37"/>
      <c r="Q21" s="34"/>
      <c r="R21" s="34"/>
      <c r="S21" s="38" t="str">
        <f aca="false">IF(OR($Q21="",$R21="",$R21=0),"",$Q21/$R21)</f>
        <v/>
      </c>
      <c r="T21" s="18" t="str">
        <f aca="false">IF($S21="","",IF($S21&gt;=0.5,"PROCEDE BAJA","EVALUAR REPARACION"))</f>
        <v/>
      </c>
      <c r="U21" s="34"/>
      <c r="V21" s="33"/>
      <c r="W21" s="33"/>
      <c r="X21" s="33"/>
      <c r="Y21" s="33"/>
      <c r="Z21" s="33"/>
      <c r="AA21" s="33"/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3"/>
      <c r="G22" s="33"/>
      <c r="H22" s="33"/>
      <c r="I22" s="33"/>
      <c r="J22" s="34"/>
      <c r="K22" s="34"/>
      <c r="L22" s="35" t="str">
        <f aca="false">IF($J22="","",$J22-IF($K22="",0,$K22))</f>
        <v/>
      </c>
      <c r="M22" s="36"/>
      <c r="N22" s="33"/>
      <c r="O22" s="33"/>
      <c r="P22" s="37"/>
      <c r="Q22" s="34"/>
      <c r="R22" s="34"/>
      <c r="S22" s="38" t="str">
        <f aca="false">IF(OR($Q22="",$R22="",$R22=0),"",$Q22/$R22)</f>
        <v/>
      </c>
      <c r="T22" s="18" t="str">
        <f aca="false">IF($S22="","",IF($S22&gt;=0.5,"PROCEDE BAJA","EVALUAR REPARACION"))</f>
        <v/>
      </c>
      <c r="U22" s="34"/>
      <c r="V22" s="33"/>
      <c r="W22" s="33"/>
      <c r="X22" s="33"/>
      <c r="Y22" s="33"/>
      <c r="Z22" s="33"/>
      <c r="AA22" s="33"/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3"/>
      <c r="G23" s="33"/>
      <c r="H23" s="33"/>
      <c r="I23" s="33"/>
      <c r="J23" s="34"/>
      <c r="K23" s="34"/>
      <c r="L23" s="35" t="str">
        <f aca="false">IF($J23="","",$J23-IF($K23="",0,$K23))</f>
        <v/>
      </c>
      <c r="M23" s="36"/>
      <c r="N23" s="33"/>
      <c r="O23" s="33"/>
      <c r="P23" s="37"/>
      <c r="Q23" s="34"/>
      <c r="R23" s="34"/>
      <c r="S23" s="38" t="str">
        <f aca="false">IF(OR($Q23="",$R23="",$R23=0),"",$Q23/$R23)</f>
        <v/>
      </c>
      <c r="T23" s="18" t="str">
        <f aca="false">IF($S23="","",IF($S23&gt;=0.5,"PROCEDE BAJA","EVALUAR REPARACION"))</f>
        <v/>
      </c>
      <c r="U23" s="34"/>
      <c r="V23" s="33"/>
      <c r="W23" s="33"/>
      <c r="X23" s="33"/>
      <c r="Y23" s="33"/>
      <c r="Z23" s="33"/>
      <c r="AA23" s="33"/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3"/>
      <c r="G24" s="33"/>
      <c r="H24" s="33"/>
      <c r="I24" s="33"/>
      <c r="J24" s="34"/>
      <c r="K24" s="34"/>
      <c r="L24" s="35" t="str">
        <f aca="false">IF($J24="","",$J24-IF($K24="",0,$K24))</f>
        <v/>
      </c>
      <c r="M24" s="36"/>
      <c r="N24" s="33"/>
      <c r="O24" s="33"/>
      <c r="P24" s="37"/>
      <c r="Q24" s="34"/>
      <c r="R24" s="34"/>
      <c r="S24" s="38" t="str">
        <f aca="false">IF(OR($Q24="",$R24="",$R24=0),"",$Q24/$R24)</f>
        <v/>
      </c>
      <c r="T24" s="18" t="str">
        <f aca="false">IF($S24="","",IF($S24&gt;=0.5,"PROCEDE BAJA","EVALUAR REPARACION"))</f>
        <v/>
      </c>
      <c r="U24" s="34"/>
      <c r="V24" s="33"/>
      <c r="W24" s="33"/>
      <c r="X24" s="33"/>
      <c r="Y24" s="33"/>
      <c r="Z24" s="33"/>
      <c r="AA24" s="33"/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3"/>
      <c r="G25" s="33"/>
      <c r="H25" s="33"/>
      <c r="I25" s="33"/>
      <c r="J25" s="34"/>
      <c r="K25" s="34"/>
      <c r="L25" s="35" t="str">
        <f aca="false">IF($J25="","",$J25-IF($K25="",0,$K25))</f>
        <v/>
      </c>
      <c r="M25" s="36"/>
      <c r="N25" s="33"/>
      <c r="O25" s="33"/>
      <c r="P25" s="37"/>
      <c r="Q25" s="34"/>
      <c r="R25" s="34"/>
      <c r="S25" s="38" t="str">
        <f aca="false">IF(OR($Q25="",$R25="",$R25=0),"",$Q25/$R25)</f>
        <v/>
      </c>
      <c r="T25" s="18" t="str">
        <f aca="false">IF($S25="","",IF($S25&gt;=0.5,"PROCEDE BAJA","EVALUAR REPARACION"))</f>
        <v/>
      </c>
      <c r="U25" s="34"/>
      <c r="V25" s="33"/>
      <c r="W25" s="33"/>
      <c r="X25" s="33"/>
      <c r="Y25" s="33"/>
      <c r="Z25" s="33"/>
      <c r="AA25" s="33"/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3"/>
      <c r="G26" s="33"/>
      <c r="H26" s="33"/>
      <c r="I26" s="33"/>
      <c r="J26" s="34"/>
      <c r="K26" s="34"/>
      <c r="L26" s="35" t="str">
        <f aca="false">IF($J26="","",$J26-IF($K26="",0,$K26))</f>
        <v/>
      </c>
      <c r="M26" s="36"/>
      <c r="N26" s="33"/>
      <c r="O26" s="33"/>
      <c r="P26" s="37"/>
      <c r="Q26" s="34"/>
      <c r="R26" s="34"/>
      <c r="S26" s="38" t="str">
        <f aca="false">IF(OR($Q26="",$R26="",$R26=0),"",$Q26/$R26)</f>
        <v/>
      </c>
      <c r="T26" s="18" t="str">
        <f aca="false">IF($S26="","",IF($S26&gt;=0.5,"PROCEDE BAJA","EVALUAR REPARACION"))</f>
        <v/>
      </c>
      <c r="U26" s="34"/>
      <c r="V26" s="33"/>
      <c r="W26" s="33"/>
      <c r="X26" s="33"/>
      <c r="Y26" s="33"/>
      <c r="Z26" s="33"/>
      <c r="AA26" s="33"/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3"/>
      <c r="G27" s="33"/>
      <c r="H27" s="33"/>
      <c r="I27" s="33"/>
      <c r="J27" s="34"/>
      <c r="K27" s="34"/>
      <c r="L27" s="35" t="str">
        <f aca="false">IF($J27="","",$J27-IF($K27="",0,$K27))</f>
        <v/>
      </c>
      <c r="M27" s="36"/>
      <c r="N27" s="33"/>
      <c r="O27" s="33"/>
      <c r="P27" s="37"/>
      <c r="Q27" s="34"/>
      <c r="R27" s="34"/>
      <c r="S27" s="38" t="str">
        <f aca="false">IF(OR($Q27="",$R27="",$R27=0),"",$Q27/$R27)</f>
        <v/>
      </c>
      <c r="T27" s="18" t="str">
        <f aca="false">IF($S27="","",IF($S27&gt;=0.5,"PROCEDE BAJA","EVALUAR REPARACION"))</f>
        <v/>
      </c>
      <c r="U27" s="34"/>
      <c r="V27" s="33"/>
      <c r="W27" s="33"/>
      <c r="X27" s="33"/>
      <c r="Y27" s="33"/>
      <c r="Z27" s="33"/>
      <c r="AA27" s="33"/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3"/>
      <c r="G28" s="33"/>
      <c r="H28" s="33"/>
      <c r="I28" s="33"/>
      <c r="J28" s="34"/>
      <c r="K28" s="34"/>
      <c r="L28" s="35" t="str">
        <f aca="false">IF($J28="","",$J28-IF($K28="",0,$K28))</f>
        <v/>
      </c>
      <c r="M28" s="36"/>
      <c r="N28" s="33"/>
      <c r="O28" s="33"/>
      <c r="P28" s="37"/>
      <c r="Q28" s="34"/>
      <c r="R28" s="34"/>
      <c r="S28" s="38" t="str">
        <f aca="false">IF(OR($Q28="",$R28="",$R28=0),"",$Q28/$R28)</f>
        <v/>
      </c>
      <c r="T28" s="18" t="str">
        <f aca="false">IF($S28="","",IF($S28&gt;=0.5,"PROCEDE BAJA","EVALUAR REPARACION"))</f>
        <v/>
      </c>
      <c r="U28" s="34"/>
      <c r="V28" s="33"/>
      <c r="W28" s="33"/>
      <c r="X28" s="33"/>
      <c r="Y28" s="33"/>
      <c r="Z28" s="33"/>
      <c r="AA28" s="33"/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3"/>
      <c r="G29" s="33"/>
      <c r="H29" s="33"/>
      <c r="I29" s="33"/>
      <c r="J29" s="34"/>
      <c r="K29" s="34"/>
      <c r="L29" s="35" t="str">
        <f aca="false">IF($J29="","",$J29-IF($K29="",0,$K29))</f>
        <v/>
      </c>
      <c r="M29" s="36"/>
      <c r="N29" s="33"/>
      <c r="O29" s="33"/>
      <c r="P29" s="37"/>
      <c r="Q29" s="34"/>
      <c r="R29" s="34"/>
      <c r="S29" s="38" t="str">
        <f aca="false">IF(OR($Q29="",$R29="",$R29=0),"",$Q29/$R29)</f>
        <v/>
      </c>
      <c r="T29" s="18" t="str">
        <f aca="false">IF($S29="","",IF($S29&gt;=0.5,"PROCEDE BAJA","EVALUAR REPARACION"))</f>
        <v/>
      </c>
      <c r="U29" s="34"/>
      <c r="V29" s="33"/>
      <c r="W29" s="33"/>
      <c r="X29" s="33"/>
      <c r="Y29" s="33"/>
      <c r="Z29" s="33"/>
      <c r="AA29" s="33"/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3"/>
      <c r="G30" s="33"/>
      <c r="H30" s="33"/>
      <c r="I30" s="33"/>
      <c r="J30" s="34"/>
      <c r="K30" s="34"/>
      <c r="L30" s="35" t="str">
        <f aca="false">IF($J30="","",$J30-IF($K30="",0,$K30))</f>
        <v/>
      </c>
      <c r="M30" s="36"/>
      <c r="N30" s="33"/>
      <c r="O30" s="33"/>
      <c r="P30" s="37"/>
      <c r="Q30" s="34"/>
      <c r="R30" s="34"/>
      <c r="S30" s="38" t="str">
        <f aca="false">IF(OR($Q30="",$R30="",$R30=0),"",$Q30/$R30)</f>
        <v/>
      </c>
      <c r="T30" s="18" t="str">
        <f aca="false">IF($S30="","",IF($S30&gt;=0.5,"PROCEDE BAJA","EVALUAR REPARACION"))</f>
        <v/>
      </c>
      <c r="U30" s="34"/>
      <c r="V30" s="33"/>
      <c r="W30" s="33"/>
      <c r="X30" s="33"/>
      <c r="Y30" s="33"/>
      <c r="Z30" s="33"/>
      <c r="AA30" s="33"/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3"/>
      <c r="G31" s="33"/>
      <c r="H31" s="33"/>
      <c r="I31" s="33"/>
      <c r="J31" s="34"/>
      <c r="K31" s="34"/>
      <c r="L31" s="35" t="str">
        <f aca="false">IF($J31="","",$J31-IF($K31="",0,$K31))</f>
        <v/>
      </c>
      <c r="M31" s="36"/>
      <c r="N31" s="33"/>
      <c r="O31" s="33"/>
      <c r="P31" s="37"/>
      <c r="Q31" s="34"/>
      <c r="R31" s="34"/>
      <c r="S31" s="38" t="str">
        <f aca="false">IF(OR($Q31="",$R31="",$R31=0),"",$Q31/$R31)</f>
        <v/>
      </c>
      <c r="T31" s="18" t="str">
        <f aca="false">IF($S31="","",IF($S31&gt;=0.5,"PROCEDE BAJA","EVALUAR REPARACION"))</f>
        <v/>
      </c>
      <c r="U31" s="34"/>
      <c r="V31" s="33"/>
      <c r="W31" s="33"/>
      <c r="X31" s="33"/>
      <c r="Y31" s="33"/>
      <c r="Z31" s="33"/>
      <c r="AA31" s="33"/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3"/>
      <c r="G32" s="33"/>
      <c r="H32" s="33"/>
      <c r="I32" s="33"/>
      <c r="J32" s="34"/>
      <c r="K32" s="34"/>
      <c r="L32" s="35" t="str">
        <f aca="false">IF($J32="","",$J32-IF($K32="",0,$K32))</f>
        <v/>
      </c>
      <c r="M32" s="36"/>
      <c r="N32" s="33"/>
      <c r="O32" s="33"/>
      <c r="P32" s="37"/>
      <c r="Q32" s="34"/>
      <c r="R32" s="34"/>
      <c r="S32" s="38" t="str">
        <f aca="false">IF(OR($Q32="",$R32="",$R32=0),"",$Q32/$R32)</f>
        <v/>
      </c>
      <c r="T32" s="18" t="str">
        <f aca="false">IF($S32="","",IF($S32&gt;=0.5,"PROCEDE BAJA","EVALUAR REPARACION"))</f>
        <v/>
      </c>
      <c r="U32" s="34"/>
      <c r="V32" s="33"/>
      <c r="W32" s="33"/>
      <c r="X32" s="33"/>
      <c r="Y32" s="33"/>
      <c r="Z32" s="33"/>
      <c r="AA32" s="33"/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3"/>
      <c r="G33" s="33"/>
      <c r="H33" s="33"/>
      <c r="I33" s="33"/>
      <c r="J33" s="34"/>
      <c r="K33" s="34"/>
      <c r="L33" s="35" t="str">
        <f aca="false">IF($J33="","",$J33-IF($K33="",0,$K33))</f>
        <v/>
      </c>
      <c r="M33" s="36"/>
      <c r="N33" s="33"/>
      <c r="O33" s="33"/>
      <c r="P33" s="37"/>
      <c r="Q33" s="34"/>
      <c r="R33" s="34"/>
      <c r="S33" s="38" t="str">
        <f aca="false">IF(OR($Q33="",$R33="",$R33=0),"",$Q33/$R33)</f>
        <v/>
      </c>
      <c r="T33" s="18" t="str">
        <f aca="false">IF($S33="","",IF($S33&gt;=0.5,"PROCEDE BAJA","EVALUAR REPARACION"))</f>
        <v/>
      </c>
      <c r="U33" s="34"/>
      <c r="V33" s="33"/>
      <c r="W33" s="33"/>
      <c r="X33" s="33"/>
      <c r="Y33" s="33"/>
      <c r="Z33" s="33"/>
      <c r="AA33" s="33"/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3"/>
      <c r="G34" s="33"/>
      <c r="H34" s="33"/>
      <c r="I34" s="33"/>
      <c r="J34" s="34"/>
      <c r="K34" s="34"/>
      <c r="L34" s="35" t="str">
        <f aca="false">IF($J34="","",$J34-IF($K34="",0,$K34))</f>
        <v/>
      </c>
      <c r="M34" s="36"/>
      <c r="N34" s="33"/>
      <c r="O34" s="33"/>
      <c r="P34" s="37"/>
      <c r="Q34" s="34"/>
      <c r="R34" s="34"/>
      <c r="S34" s="38" t="str">
        <f aca="false">IF(OR($Q34="",$R34="",$R34=0),"",$Q34/$R34)</f>
        <v/>
      </c>
      <c r="T34" s="18" t="str">
        <f aca="false">IF($S34="","",IF($S34&gt;=0.5,"PROCEDE BAJA","EVALUAR REPARACION"))</f>
        <v/>
      </c>
      <c r="U34" s="34"/>
      <c r="V34" s="33"/>
      <c r="W34" s="33"/>
      <c r="X34" s="33"/>
      <c r="Y34" s="33"/>
      <c r="Z34" s="33"/>
      <c r="AA34" s="33"/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3"/>
      <c r="G35" s="33"/>
      <c r="H35" s="33"/>
      <c r="I35" s="33"/>
      <c r="J35" s="34"/>
      <c r="K35" s="34"/>
      <c r="L35" s="35" t="str">
        <f aca="false">IF($J35="","",$J35-IF($K35="",0,$K35))</f>
        <v/>
      </c>
      <c r="M35" s="36"/>
      <c r="N35" s="33"/>
      <c r="O35" s="33"/>
      <c r="P35" s="37"/>
      <c r="Q35" s="34"/>
      <c r="R35" s="34"/>
      <c r="S35" s="38" t="str">
        <f aca="false">IF(OR($Q35="",$R35="",$R35=0),"",$Q35/$R35)</f>
        <v/>
      </c>
      <c r="T35" s="18" t="str">
        <f aca="false">IF($S35="","",IF($S35&gt;=0.5,"PROCEDE BAJA","EVALUAR REPARACION"))</f>
        <v/>
      </c>
      <c r="U35" s="34"/>
      <c r="V35" s="33"/>
      <c r="W35" s="33"/>
      <c r="X35" s="33"/>
      <c r="Y35" s="33"/>
      <c r="Z35" s="33"/>
      <c r="AA35" s="33"/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3"/>
      <c r="G36" s="33"/>
      <c r="H36" s="33"/>
      <c r="I36" s="33"/>
      <c r="J36" s="34"/>
      <c r="K36" s="34"/>
      <c r="L36" s="35" t="str">
        <f aca="false">IF($J36="","",$J36-IF($K36="",0,$K36))</f>
        <v/>
      </c>
      <c r="M36" s="36"/>
      <c r="N36" s="33"/>
      <c r="O36" s="33"/>
      <c r="P36" s="37"/>
      <c r="Q36" s="34"/>
      <c r="R36" s="34"/>
      <c r="S36" s="38" t="str">
        <f aca="false">IF(OR($Q36="",$R36="",$R36=0),"",$Q36/$R36)</f>
        <v/>
      </c>
      <c r="T36" s="18" t="str">
        <f aca="false">IF($S36="","",IF($S36&gt;=0.5,"PROCEDE BAJA","EVALUAR REPARACION"))</f>
        <v/>
      </c>
      <c r="U36" s="34"/>
      <c r="V36" s="33"/>
      <c r="W36" s="33"/>
      <c r="X36" s="33"/>
      <c r="Y36" s="33"/>
      <c r="Z36" s="33"/>
      <c r="AA36" s="33"/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3"/>
      <c r="G37" s="33"/>
      <c r="H37" s="33"/>
      <c r="I37" s="33"/>
      <c r="J37" s="34"/>
      <c r="K37" s="34"/>
      <c r="L37" s="35" t="str">
        <f aca="false">IF($J37="","",$J37-IF($K37="",0,$K37))</f>
        <v/>
      </c>
      <c r="M37" s="36"/>
      <c r="N37" s="33"/>
      <c r="O37" s="33"/>
      <c r="P37" s="37"/>
      <c r="Q37" s="34"/>
      <c r="R37" s="34"/>
      <c r="S37" s="38" t="str">
        <f aca="false">IF(OR($Q37="",$R37="",$R37=0),"",$Q37/$R37)</f>
        <v/>
      </c>
      <c r="T37" s="18" t="str">
        <f aca="false">IF($S37="","",IF($S37&gt;=0.5,"PROCEDE BAJA","EVALUAR REPARACION"))</f>
        <v/>
      </c>
      <c r="U37" s="34"/>
      <c r="V37" s="33"/>
      <c r="W37" s="33"/>
      <c r="X37" s="33"/>
      <c r="Y37" s="33"/>
      <c r="Z37" s="33"/>
      <c r="AA37" s="33"/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3"/>
      <c r="G38" s="33"/>
      <c r="H38" s="33"/>
      <c r="I38" s="33"/>
      <c r="J38" s="34"/>
      <c r="K38" s="34"/>
      <c r="L38" s="35" t="str">
        <f aca="false">IF($J38="","",$J38-IF($K38="",0,$K38))</f>
        <v/>
      </c>
      <c r="M38" s="36"/>
      <c r="N38" s="33"/>
      <c r="O38" s="33"/>
      <c r="P38" s="37"/>
      <c r="Q38" s="34"/>
      <c r="R38" s="34"/>
      <c r="S38" s="38" t="str">
        <f aca="false">IF(OR($Q38="",$R38="",$R38=0),"",$Q38/$R38)</f>
        <v/>
      </c>
      <c r="T38" s="18" t="str">
        <f aca="false">IF($S38="","",IF($S38&gt;=0.5,"PROCEDE BAJA","EVALUAR REPARACION"))</f>
        <v/>
      </c>
      <c r="U38" s="34"/>
      <c r="V38" s="33"/>
      <c r="W38" s="33"/>
      <c r="X38" s="33"/>
      <c r="Y38" s="33"/>
      <c r="Z38" s="33"/>
      <c r="AA38" s="33"/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3"/>
      <c r="G39" s="33"/>
      <c r="H39" s="33"/>
      <c r="I39" s="33"/>
      <c r="J39" s="34"/>
      <c r="K39" s="34"/>
      <c r="L39" s="35" t="str">
        <f aca="false">IF($J39="","",$J39-IF($K39="",0,$K39))</f>
        <v/>
      </c>
      <c r="M39" s="36"/>
      <c r="N39" s="33"/>
      <c r="O39" s="33"/>
      <c r="P39" s="37"/>
      <c r="Q39" s="34"/>
      <c r="R39" s="34"/>
      <c r="S39" s="38" t="str">
        <f aca="false">IF(OR($Q39="",$R39="",$R39=0),"",$Q39/$R39)</f>
        <v/>
      </c>
      <c r="T39" s="18" t="str">
        <f aca="false">IF($S39="","",IF($S39&gt;=0.5,"PROCEDE BAJA","EVALUAR REPARACION"))</f>
        <v/>
      </c>
      <c r="U39" s="34"/>
      <c r="V39" s="33"/>
      <c r="W39" s="33"/>
      <c r="X39" s="33"/>
      <c r="Y39" s="33"/>
      <c r="Z39" s="33"/>
      <c r="AA39" s="33"/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3"/>
      <c r="G40" s="33"/>
      <c r="H40" s="33"/>
      <c r="I40" s="33"/>
      <c r="J40" s="34"/>
      <c r="K40" s="34"/>
      <c r="L40" s="35" t="str">
        <f aca="false">IF($J40="","",$J40-IF($K40="",0,$K40))</f>
        <v/>
      </c>
      <c r="M40" s="36"/>
      <c r="N40" s="33"/>
      <c r="O40" s="33"/>
      <c r="P40" s="37"/>
      <c r="Q40" s="34"/>
      <c r="R40" s="34"/>
      <c r="S40" s="38" t="str">
        <f aca="false">IF(OR($Q40="",$R40="",$R40=0),"",$Q40/$R40)</f>
        <v/>
      </c>
      <c r="T40" s="18" t="str">
        <f aca="false">IF($S40="","",IF($S40&gt;=0.5,"PROCEDE BAJA","EVALUAR REPARACION"))</f>
        <v/>
      </c>
      <c r="U40" s="34"/>
      <c r="V40" s="33"/>
      <c r="W40" s="33"/>
      <c r="X40" s="33"/>
      <c r="Y40" s="33"/>
      <c r="Z40" s="33"/>
      <c r="AA40" s="33"/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3"/>
      <c r="G41" s="33"/>
      <c r="H41" s="33"/>
      <c r="I41" s="33"/>
      <c r="J41" s="34"/>
      <c r="K41" s="34"/>
      <c r="L41" s="35" t="str">
        <f aca="false">IF($J41="","",$J41-IF($K41="",0,$K41))</f>
        <v/>
      </c>
      <c r="M41" s="36"/>
      <c r="N41" s="33"/>
      <c r="O41" s="33"/>
      <c r="P41" s="37"/>
      <c r="Q41" s="34"/>
      <c r="R41" s="34"/>
      <c r="S41" s="38" t="str">
        <f aca="false">IF(OR($Q41="",$R41="",$R41=0),"",$Q41/$R41)</f>
        <v/>
      </c>
      <c r="T41" s="18" t="str">
        <f aca="false">IF($S41="","",IF($S41&gt;=0.5,"PROCEDE BAJA","EVALUAR REPARACION"))</f>
        <v/>
      </c>
      <c r="U41" s="34"/>
      <c r="V41" s="33"/>
      <c r="W41" s="33"/>
      <c r="X41" s="33"/>
      <c r="Y41" s="33"/>
      <c r="Z41" s="33"/>
      <c r="AA41" s="33"/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3"/>
      <c r="G42" s="33"/>
      <c r="H42" s="33"/>
      <c r="I42" s="33"/>
      <c r="J42" s="34"/>
      <c r="K42" s="34"/>
      <c r="L42" s="35" t="str">
        <f aca="false">IF($J42="","",$J42-IF($K42="",0,$K42))</f>
        <v/>
      </c>
      <c r="M42" s="36"/>
      <c r="N42" s="33"/>
      <c r="O42" s="33"/>
      <c r="P42" s="37"/>
      <c r="Q42" s="34"/>
      <c r="R42" s="34"/>
      <c r="S42" s="38" t="str">
        <f aca="false">IF(OR($Q42="",$R42="",$R42=0),"",$Q42/$R42)</f>
        <v/>
      </c>
      <c r="T42" s="18" t="str">
        <f aca="false">IF($S42="","",IF($S42&gt;=0.5,"PROCEDE BAJA","EVALUAR REPARACION"))</f>
        <v/>
      </c>
      <c r="U42" s="34"/>
      <c r="V42" s="33"/>
      <c r="W42" s="33"/>
      <c r="X42" s="33"/>
      <c r="Y42" s="33"/>
      <c r="Z42" s="33"/>
      <c r="AA42" s="33"/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3"/>
      <c r="G43" s="33"/>
      <c r="H43" s="33"/>
      <c r="I43" s="33"/>
      <c r="J43" s="34"/>
      <c r="K43" s="34"/>
      <c r="L43" s="35" t="str">
        <f aca="false">IF($J43="","",$J43-IF($K43="",0,$K43))</f>
        <v/>
      </c>
      <c r="M43" s="36"/>
      <c r="N43" s="33"/>
      <c r="O43" s="33"/>
      <c r="P43" s="37"/>
      <c r="Q43" s="34"/>
      <c r="R43" s="34"/>
      <c r="S43" s="38" t="str">
        <f aca="false">IF(OR($Q43="",$R43="",$R43=0),"",$Q43/$R43)</f>
        <v/>
      </c>
      <c r="T43" s="18" t="str">
        <f aca="false">IF($S43="","",IF($S43&gt;=0.5,"PROCEDE BAJA","EVALUAR REPARACION"))</f>
        <v/>
      </c>
      <c r="U43" s="34"/>
      <c r="V43" s="33"/>
      <c r="W43" s="33"/>
      <c r="X43" s="33"/>
      <c r="Y43" s="33"/>
      <c r="Z43" s="33"/>
      <c r="AA43" s="33"/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3"/>
      <c r="G44" s="33"/>
      <c r="H44" s="33"/>
      <c r="I44" s="33"/>
      <c r="J44" s="34"/>
      <c r="K44" s="34"/>
      <c r="L44" s="35" t="str">
        <f aca="false">IF($J44="","",$J44-IF($K44="",0,$K44))</f>
        <v/>
      </c>
      <c r="M44" s="36"/>
      <c r="N44" s="33"/>
      <c r="O44" s="33"/>
      <c r="P44" s="37"/>
      <c r="Q44" s="34"/>
      <c r="R44" s="34"/>
      <c r="S44" s="38" t="str">
        <f aca="false">IF(OR($Q44="",$R44="",$R44=0),"",$Q44/$R44)</f>
        <v/>
      </c>
      <c r="T44" s="18" t="str">
        <f aca="false">IF($S44="","",IF($S44&gt;=0.5,"PROCEDE BAJA","EVALUAR REPARACION"))</f>
        <v/>
      </c>
      <c r="U44" s="34"/>
      <c r="V44" s="33"/>
      <c r="W44" s="33"/>
      <c r="X44" s="33"/>
      <c r="Y44" s="33"/>
      <c r="Z44" s="33"/>
      <c r="AA44" s="33"/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33"/>
      <c r="G45" s="33"/>
      <c r="H45" s="33"/>
      <c r="I45" s="33"/>
      <c r="J45" s="34"/>
      <c r="K45" s="34"/>
      <c r="L45" s="35" t="str">
        <f aca="false">IF($J45="","",$J45-IF($K45="",0,$K45))</f>
        <v/>
      </c>
      <c r="M45" s="36"/>
      <c r="N45" s="33"/>
      <c r="O45" s="33"/>
      <c r="P45" s="37"/>
      <c r="Q45" s="34"/>
      <c r="R45" s="34"/>
      <c r="S45" s="38" t="str">
        <f aca="false">IF(OR($Q45="",$R45="",$R45=0),"",$Q45/$R45)</f>
        <v/>
      </c>
      <c r="T45" s="18" t="str">
        <f aca="false">IF($S45="","",IF($S45&gt;=0.5,"PROCEDE BAJA","EVALUAR REPARACION"))</f>
        <v/>
      </c>
      <c r="U45" s="34"/>
      <c r="V45" s="33"/>
      <c r="W45" s="33"/>
      <c r="X45" s="33"/>
      <c r="Y45" s="33"/>
      <c r="Z45" s="33"/>
      <c r="AA45" s="33"/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3"/>
      <c r="G46" s="33"/>
      <c r="H46" s="33"/>
      <c r="I46" s="33"/>
      <c r="J46" s="34"/>
      <c r="K46" s="34"/>
      <c r="L46" s="35" t="str">
        <f aca="false">IF($J46="","",$J46-IF($K46="",0,$K46))</f>
        <v/>
      </c>
      <c r="M46" s="36"/>
      <c r="N46" s="33"/>
      <c r="O46" s="33"/>
      <c r="P46" s="37"/>
      <c r="Q46" s="34"/>
      <c r="R46" s="34"/>
      <c r="S46" s="38" t="str">
        <f aca="false">IF(OR($Q46="",$R46="",$R46=0),"",$Q46/$R46)</f>
        <v/>
      </c>
      <c r="T46" s="18" t="str">
        <f aca="false">IF($S46="","",IF($S46&gt;=0.5,"PROCEDE BAJA","EVALUAR REPARACION"))</f>
        <v/>
      </c>
      <c r="U46" s="34"/>
      <c r="V46" s="33"/>
      <c r="W46" s="33"/>
      <c r="X46" s="33"/>
      <c r="Y46" s="33"/>
      <c r="Z46" s="33"/>
      <c r="AA46" s="33"/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3"/>
      <c r="G47" s="33"/>
      <c r="H47" s="33"/>
      <c r="I47" s="33"/>
      <c r="J47" s="34"/>
      <c r="K47" s="34"/>
      <c r="L47" s="35" t="str">
        <f aca="false">IF($J47="","",$J47-IF($K47="",0,$K47))</f>
        <v/>
      </c>
      <c r="M47" s="36"/>
      <c r="N47" s="33"/>
      <c r="O47" s="33"/>
      <c r="P47" s="37"/>
      <c r="Q47" s="34"/>
      <c r="R47" s="34"/>
      <c r="S47" s="38" t="str">
        <f aca="false">IF(OR($Q47="",$R47="",$R47=0),"",$Q47/$R47)</f>
        <v/>
      </c>
      <c r="T47" s="18" t="str">
        <f aca="false">IF($S47="","",IF($S47&gt;=0.5,"PROCEDE BAJA","EVALUAR REPARACION"))</f>
        <v/>
      </c>
      <c r="U47" s="34"/>
      <c r="V47" s="33"/>
      <c r="W47" s="33"/>
      <c r="X47" s="33"/>
      <c r="Y47" s="33"/>
      <c r="Z47" s="33"/>
      <c r="AA47" s="33"/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3"/>
      <c r="G48" s="33"/>
      <c r="H48" s="33"/>
      <c r="I48" s="33"/>
      <c r="J48" s="34"/>
      <c r="K48" s="34"/>
      <c r="L48" s="35" t="str">
        <f aca="false">IF($J48="","",$J48-IF($K48="",0,$K48))</f>
        <v/>
      </c>
      <c r="M48" s="36"/>
      <c r="N48" s="33"/>
      <c r="O48" s="33"/>
      <c r="P48" s="37"/>
      <c r="Q48" s="34"/>
      <c r="R48" s="34"/>
      <c r="S48" s="38" t="str">
        <f aca="false">IF(OR($Q48="",$R48="",$R48=0),"",$Q48/$R48)</f>
        <v/>
      </c>
      <c r="T48" s="18" t="str">
        <f aca="false">IF($S48="","",IF($S48&gt;=0.5,"PROCEDE BAJA","EVALUAR REPARACION"))</f>
        <v/>
      </c>
      <c r="U48" s="34"/>
      <c r="V48" s="33"/>
      <c r="W48" s="33"/>
      <c r="X48" s="33"/>
      <c r="Y48" s="33"/>
      <c r="Z48" s="33"/>
      <c r="AA48" s="33"/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33"/>
      <c r="G49" s="33"/>
      <c r="H49" s="33"/>
      <c r="I49" s="33"/>
      <c r="J49" s="34"/>
      <c r="K49" s="34"/>
      <c r="L49" s="35" t="str">
        <f aca="false">IF($J49="","",$J49-IF($K49="",0,$K49))</f>
        <v/>
      </c>
      <c r="M49" s="36"/>
      <c r="N49" s="33"/>
      <c r="O49" s="33"/>
      <c r="P49" s="37"/>
      <c r="Q49" s="34"/>
      <c r="R49" s="34"/>
      <c r="S49" s="38" t="str">
        <f aca="false">IF(OR($Q49="",$R49="",$R49=0),"",$Q49/$R49)</f>
        <v/>
      </c>
      <c r="T49" s="18" t="str">
        <f aca="false">IF($S49="","",IF($S49&gt;=0.5,"PROCEDE BAJA","EVALUAR REPARACION"))</f>
        <v/>
      </c>
      <c r="U49" s="34"/>
      <c r="V49" s="33"/>
      <c r="W49" s="33"/>
      <c r="X49" s="33"/>
      <c r="Y49" s="33"/>
      <c r="Z49" s="33"/>
      <c r="AA49" s="33"/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3"/>
      <c r="G50" s="33"/>
      <c r="H50" s="33"/>
      <c r="I50" s="33"/>
      <c r="J50" s="34"/>
      <c r="K50" s="34"/>
      <c r="L50" s="35" t="str">
        <f aca="false">IF($J50="","",$J50-IF($K50="",0,$K50))</f>
        <v/>
      </c>
      <c r="M50" s="36"/>
      <c r="N50" s="33"/>
      <c r="O50" s="33"/>
      <c r="P50" s="37"/>
      <c r="Q50" s="34"/>
      <c r="R50" s="34"/>
      <c r="S50" s="38" t="str">
        <f aca="false">IF(OR($Q50="",$R50="",$R50=0),"",$Q50/$R50)</f>
        <v/>
      </c>
      <c r="T50" s="18" t="str">
        <f aca="false">IF($S50="","",IF($S50&gt;=0.5,"PROCEDE BAJA","EVALUAR REPARACION"))</f>
        <v/>
      </c>
      <c r="U50" s="34"/>
      <c r="V50" s="33"/>
      <c r="W50" s="33"/>
      <c r="X50" s="33"/>
      <c r="Y50" s="33"/>
      <c r="Z50" s="33"/>
      <c r="AA50" s="33"/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33"/>
      <c r="G51" s="33"/>
      <c r="H51" s="33"/>
      <c r="I51" s="33"/>
      <c r="J51" s="34"/>
      <c r="K51" s="34"/>
      <c r="L51" s="35" t="str">
        <f aca="false">IF($J51="","",$J51-IF($K51="",0,$K51))</f>
        <v/>
      </c>
      <c r="M51" s="36"/>
      <c r="N51" s="33"/>
      <c r="O51" s="33"/>
      <c r="P51" s="37"/>
      <c r="Q51" s="34"/>
      <c r="R51" s="34"/>
      <c r="S51" s="38" t="str">
        <f aca="false">IF(OR($Q51="",$R51="",$R51=0),"",$Q51/$R51)</f>
        <v/>
      </c>
      <c r="T51" s="18" t="str">
        <f aca="false">IF($S51="","",IF($S51&gt;=0.5,"PROCEDE BAJA","EVALUAR REPARACION"))</f>
        <v/>
      </c>
      <c r="U51" s="34"/>
      <c r="V51" s="33"/>
      <c r="W51" s="33"/>
      <c r="X51" s="33"/>
      <c r="Y51" s="33"/>
      <c r="Z51" s="33"/>
      <c r="AA51" s="33"/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33"/>
      <c r="G52" s="33"/>
      <c r="H52" s="33"/>
      <c r="I52" s="33"/>
      <c r="J52" s="34"/>
      <c r="K52" s="34"/>
      <c r="L52" s="35" t="str">
        <f aca="false">IF($J52="","",$J52-IF($K52="",0,$K52))</f>
        <v/>
      </c>
      <c r="M52" s="36"/>
      <c r="N52" s="33"/>
      <c r="O52" s="33"/>
      <c r="P52" s="37"/>
      <c r="Q52" s="34"/>
      <c r="R52" s="34"/>
      <c r="S52" s="38" t="str">
        <f aca="false">IF(OR($Q52="",$R52="",$R52=0),"",$Q52/$R52)</f>
        <v/>
      </c>
      <c r="T52" s="18" t="str">
        <f aca="false">IF($S52="","",IF($S52&gt;=0.5,"PROCEDE BAJA","EVALUAR REPARACION"))</f>
        <v/>
      </c>
      <c r="U52" s="34"/>
      <c r="V52" s="33"/>
      <c r="W52" s="33"/>
      <c r="X52" s="33"/>
      <c r="Y52" s="33"/>
      <c r="Z52" s="33"/>
      <c r="AA52" s="33"/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33"/>
      <c r="G53" s="33"/>
      <c r="H53" s="33"/>
      <c r="I53" s="33"/>
      <c r="J53" s="34"/>
      <c r="K53" s="34"/>
      <c r="L53" s="35" t="str">
        <f aca="false">IF($J53="","",$J53-IF($K53="",0,$K53))</f>
        <v/>
      </c>
      <c r="M53" s="36"/>
      <c r="N53" s="33"/>
      <c r="O53" s="33"/>
      <c r="P53" s="37"/>
      <c r="Q53" s="34"/>
      <c r="R53" s="34"/>
      <c r="S53" s="38" t="str">
        <f aca="false">IF(OR($Q53="",$R53="",$R53=0),"",$Q53/$R53)</f>
        <v/>
      </c>
      <c r="T53" s="18" t="str">
        <f aca="false">IF($S53="","",IF($S53&gt;=0.5,"PROCEDE BAJA","EVALUAR REPARACION"))</f>
        <v/>
      </c>
      <c r="U53" s="34"/>
      <c r="V53" s="33"/>
      <c r="W53" s="33"/>
      <c r="X53" s="33"/>
      <c r="Y53" s="33"/>
      <c r="Z53" s="33"/>
      <c r="AA53" s="33"/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33"/>
      <c r="G54" s="33"/>
      <c r="H54" s="33"/>
      <c r="I54" s="33"/>
      <c r="J54" s="34"/>
      <c r="K54" s="34"/>
      <c r="L54" s="35" t="str">
        <f aca="false">IF($J54="","",$J54-IF($K54="",0,$K54))</f>
        <v/>
      </c>
      <c r="M54" s="36"/>
      <c r="N54" s="33"/>
      <c r="O54" s="33"/>
      <c r="P54" s="37"/>
      <c r="Q54" s="34"/>
      <c r="R54" s="34"/>
      <c r="S54" s="38" t="str">
        <f aca="false">IF(OR($Q54="",$R54="",$R54=0),"",$Q54/$R54)</f>
        <v/>
      </c>
      <c r="T54" s="18" t="str">
        <f aca="false">IF($S54="","",IF($S54&gt;=0.5,"PROCEDE BAJA","EVALUAR REPARACION"))</f>
        <v/>
      </c>
      <c r="U54" s="34"/>
      <c r="V54" s="33"/>
      <c r="W54" s="33"/>
      <c r="X54" s="33"/>
      <c r="Y54" s="33"/>
      <c r="Z54" s="33"/>
      <c r="AA54" s="33"/>
    </row>
    <row r="55" customFormat="false" ht="15" hidden="false" customHeight="false" outlineLevel="0" collapsed="false">
      <c r="A55" s="33"/>
      <c r="B55" s="33"/>
      <c r="C55" s="33"/>
      <c r="D55" s="33"/>
      <c r="E55" s="33"/>
      <c r="F55" s="33"/>
      <c r="G55" s="33"/>
      <c r="H55" s="33"/>
      <c r="I55" s="33"/>
      <c r="J55" s="34"/>
      <c r="K55" s="34"/>
      <c r="L55" s="35" t="str">
        <f aca="false">IF($J55="","",$J55-IF($K55="",0,$K55))</f>
        <v/>
      </c>
      <c r="M55" s="36"/>
      <c r="N55" s="33"/>
      <c r="O55" s="33"/>
      <c r="P55" s="37"/>
      <c r="Q55" s="34"/>
      <c r="R55" s="34"/>
      <c r="S55" s="38" t="str">
        <f aca="false">IF(OR($Q55="",$R55="",$R55=0),"",$Q55/$R55)</f>
        <v/>
      </c>
      <c r="T55" s="18" t="str">
        <f aca="false">IF($S55="","",IF($S55&gt;=0.5,"PROCEDE BAJA","EVALUAR REPARACION"))</f>
        <v/>
      </c>
      <c r="U55" s="34"/>
      <c r="V55" s="33"/>
      <c r="W55" s="33"/>
      <c r="X55" s="33"/>
      <c r="Y55" s="33"/>
      <c r="Z55" s="33"/>
      <c r="AA55" s="33"/>
    </row>
    <row r="56" customFormat="false" ht="15" hidden="false" customHeight="false" outlineLevel="0" collapsed="false">
      <c r="A56" s="33"/>
      <c r="B56" s="33"/>
      <c r="C56" s="33"/>
      <c r="D56" s="33"/>
      <c r="E56" s="33"/>
      <c r="F56" s="33"/>
      <c r="G56" s="33"/>
      <c r="H56" s="33"/>
      <c r="I56" s="33"/>
      <c r="J56" s="34"/>
      <c r="K56" s="34"/>
      <c r="L56" s="35" t="str">
        <f aca="false">IF($J56="","",$J56-IF($K56="",0,$K56))</f>
        <v/>
      </c>
      <c r="M56" s="36"/>
      <c r="N56" s="33"/>
      <c r="O56" s="33"/>
      <c r="P56" s="37"/>
      <c r="Q56" s="34"/>
      <c r="R56" s="34"/>
      <c r="S56" s="38" t="str">
        <f aca="false">IF(OR($Q56="",$R56="",$R56=0),"",$Q56/$R56)</f>
        <v/>
      </c>
      <c r="T56" s="18" t="str">
        <f aca="false">IF($S56="","",IF($S56&gt;=0.5,"PROCEDE BAJA","EVALUAR REPARACION"))</f>
        <v/>
      </c>
      <c r="U56" s="34"/>
      <c r="V56" s="33"/>
      <c r="W56" s="33"/>
      <c r="X56" s="33"/>
      <c r="Y56" s="33"/>
      <c r="Z56" s="33"/>
      <c r="AA56" s="33"/>
    </row>
    <row r="57" customFormat="false" ht="15" hidden="false" customHeight="false" outlineLevel="0" collapsed="false">
      <c r="A57" s="33"/>
      <c r="B57" s="33"/>
      <c r="C57" s="33"/>
      <c r="D57" s="33"/>
      <c r="E57" s="33"/>
      <c r="F57" s="33"/>
      <c r="G57" s="33"/>
      <c r="H57" s="33"/>
      <c r="I57" s="33"/>
      <c r="J57" s="34"/>
      <c r="K57" s="34"/>
      <c r="L57" s="35" t="str">
        <f aca="false">IF($J57="","",$J57-IF($K57="",0,$K57))</f>
        <v/>
      </c>
      <c r="M57" s="36"/>
      <c r="N57" s="33"/>
      <c r="O57" s="33"/>
      <c r="P57" s="37"/>
      <c r="Q57" s="34"/>
      <c r="R57" s="34"/>
      <c r="S57" s="38" t="str">
        <f aca="false">IF(OR($Q57="",$R57="",$R57=0),"",$Q57/$R57)</f>
        <v/>
      </c>
      <c r="T57" s="18" t="str">
        <f aca="false">IF($S57="","",IF($S57&gt;=0.5,"PROCEDE BAJA","EVALUAR REPARACION"))</f>
        <v/>
      </c>
      <c r="U57" s="34"/>
      <c r="V57" s="33"/>
      <c r="W57" s="33"/>
      <c r="X57" s="33"/>
      <c r="Y57" s="33"/>
      <c r="Z57" s="33"/>
      <c r="AA57" s="33"/>
    </row>
    <row r="58" customFormat="false" ht="15" hidden="false" customHeight="false" outlineLevel="0" collapsed="false">
      <c r="A58" s="33"/>
      <c r="B58" s="33"/>
      <c r="C58" s="33"/>
      <c r="D58" s="33"/>
      <c r="E58" s="33"/>
      <c r="F58" s="33"/>
      <c r="G58" s="33"/>
      <c r="H58" s="33"/>
      <c r="I58" s="33"/>
      <c r="J58" s="34"/>
      <c r="K58" s="34"/>
      <c r="L58" s="35" t="str">
        <f aca="false">IF($J58="","",$J58-IF($K58="",0,$K58))</f>
        <v/>
      </c>
      <c r="M58" s="36"/>
      <c r="N58" s="33"/>
      <c r="O58" s="33"/>
      <c r="P58" s="37"/>
      <c r="Q58" s="34"/>
      <c r="R58" s="34"/>
      <c r="S58" s="38" t="str">
        <f aca="false">IF(OR($Q58="",$R58="",$R58=0),"",$Q58/$R58)</f>
        <v/>
      </c>
      <c r="T58" s="18" t="str">
        <f aca="false">IF($S58="","",IF($S58&gt;=0.5,"PROCEDE BAJA","EVALUAR REPARACION"))</f>
        <v/>
      </c>
      <c r="U58" s="34"/>
      <c r="V58" s="33"/>
      <c r="W58" s="33"/>
      <c r="X58" s="33"/>
      <c r="Y58" s="33"/>
      <c r="Z58" s="33"/>
      <c r="AA58" s="33"/>
    </row>
    <row r="59" customFormat="false" ht="15" hidden="false" customHeight="false" outlineLevel="0" collapsed="false">
      <c r="A59" s="33"/>
      <c r="B59" s="33"/>
      <c r="C59" s="33"/>
      <c r="D59" s="33"/>
      <c r="E59" s="33"/>
      <c r="F59" s="33"/>
      <c r="G59" s="33"/>
      <c r="H59" s="33"/>
      <c r="I59" s="33"/>
      <c r="J59" s="34"/>
      <c r="K59" s="34"/>
      <c r="L59" s="35" t="str">
        <f aca="false">IF($J59="","",$J59-IF($K59="",0,$K59))</f>
        <v/>
      </c>
      <c r="M59" s="36"/>
      <c r="N59" s="33"/>
      <c r="O59" s="33"/>
      <c r="P59" s="37"/>
      <c r="Q59" s="34"/>
      <c r="R59" s="34"/>
      <c r="S59" s="38" t="str">
        <f aca="false">IF(OR($Q59="",$R59="",$R59=0),"",$Q59/$R59)</f>
        <v/>
      </c>
      <c r="T59" s="18" t="str">
        <f aca="false">IF($S59="","",IF($S59&gt;=0.5,"PROCEDE BAJA","EVALUAR REPARACION"))</f>
        <v/>
      </c>
      <c r="U59" s="34"/>
      <c r="V59" s="33"/>
      <c r="W59" s="33"/>
      <c r="X59" s="33"/>
      <c r="Y59" s="33"/>
      <c r="Z59" s="33"/>
      <c r="AA59" s="33"/>
    </row>
    <row r="60" customFormat="false" ht="15" hidden="false" customHeight="false" outlineLevel="0" collapsed="false">
      <c r="A60" s="33"/>
      <c r="B60" s="33"/>
      <c r="C60" s="33"/>
      <c r="D60" s="33"/>
      <c r="E60" s="33"/>
      <c r="F60" s="33"/>
      <c r="G60" s="33"/>
      <c r="H60" s="33"/>
      <c r="I60" s="33"/>
      <c r="J60" s="34"/>
      <c r="K60" s="34"/>
      <c r="L60" s="35" t="str">
        <f aca="false">IF($J60="","",$J60-IF($K60="",0,$K60))</f>
        <v/>
      </c>
      <c r="M60" s="36"/>
      <c r="N60" s="33"/>
      <c r="O60" s="33"/>
      <c r="P60" s="37"/>
      <c r="Q60" s="34"/>
      <c r="R60" s="34"/>
      <c r="S60" s="38" t="str">
        <f aca="false">IF(OR($Q60="",$R60="",$R60=0),"",$Q60/$R60)</f>
        <v/>
      </c>
      <c r="T60" s="18" t="str">
        <f aca="false">IF($S60="","",IF($S60&gt;=0.5,"PROCEDE BAJA","EVALUAR REPARACION"))</f>
        <v/>
      </c>
      <c r="U60" s="34"/>
      <c r="V60" s="33"/>
      <c r="W60" s="33"/>
      <c r="X60" s="33"/>
      <c r="Y60" s="33"/>
      <c r="Z60" s="33"/>
      <c r="AA60" s="33"/>
    </row>
    <row r="61" customFormat="false" ht="15" hidden="false" customHeight="false" outlineLevel="0" collapsed="false">
      <c r="A61" s="33"/>
      <c r="B61" s="33"/>
      <c r="C61" s="33"/>
      <c r="D61" s="33"/>
      <c r="E61" s="33"/>
      <c r="F61" s="33"/>
      <c r="G61" s="33"/>
      <c r="H61" s="33"/>
      <c r="I61" s="33"/>
      <c r="J61" s="34"/>
      <c r="K61" s="34"/>
      <c r="L61" s="35" t="str">
        <f aca="false">IF($J61="","",$J61-IF($K61="",0,$K61))</f>
        <v/>
      </c>
      <c r="M61" s="36"/>
      <c r="N61" s="33"/>
      <c r="O61" s="33"/>
      <c r="P61" s="37"/>
      <c r="Q61" s="34"/>
      <c r="R61" s="34"/>
      <c r="S61" s="38" t="str">
        <f aca="false">IF(OR($Q61="",$R61="",$R61=0),"",$Q61/$R61)</f>
        <v/>
      </c>
      <c r="T61" s="18" t="str">
        <f aca="false">IF($S61="","",IF($S61&gt;=0.5,"PROCEDE BAJA","EVALUAR REPARACION"))</f>
        <v/>
      </c>
      <c r="U61" s="34"/>
      <c r="V61" s="33"/>
      <c r="W61" s="33"/>
      <c r="X61" s="33"/>
      <c r="Y61" s="33"/>
      <c r="Z61" s="33"/>
      <c r="AA61" s="33"/>
    </row>
    <row r="62" customFormat="false" ht="15" hidden="false" customHeight="false" outlineLevel="0" collapsed="false">
      <c r="A62" s="33"/>
      <c r="B62" s="33"/>
      <c r="C62" s="33"/>
      <c r="D62" s="33"/>
      <c r="E62" s="33"/>
      <c r="F62" s="33"/>
      <c r="G62" s="33"/>
      <c r="H62" s="33"/>
      <c r="I62" s="33"/>
      <c r="J62" s="34"/>
      <c r="K62" s="34"/>
      <c r="L62" s="35" t="str">
        <f aca="false">IF($J62="","",$J62-IF($K62="",0,$K62))</f>
        <v/>
      </c>
      <c r="M62" s="36"/>
      <c r="N62" s="33"/>
      <c r="O62" s="33"/>
      <c r="P62" s="37"/>
      <c r="Q62" s="34"/>
      <c r="R62" s="34"/>
      <c r="S62" s="38" t="str">
        <f aca="false">IF(OR($Q62="",$R62="",$R62=0),"",$Q62/$R62)</f>
        <v/>
      </c>
      <c r="T62" s="18" t="str">
        <f aca="false">IF($S62="","",IF($S62&gt;=0.5,"PROCEDE BAJA","EVALUAR REPARACION"))</f>
        <v/>
      </c>
      <c r="U62" s="34"/>
      <c r="V62" s="33"/>
      <c r="W62" s="33"/>
      <c r="X62" s="33"/>
      <c r="Y62" s="33"/>
      <c r="Z62" s="33"/>
      <c r="AA62" s="33"/>
    </row>
    <row r="63" customFormat="false" ht="15" hidden="false" customHeight="false" outlineLevel="0" collapsed="false">
      <c r="A63" s="33"/>
      <c r="B63" s="33"/>
      <c r="C63" s="33"/>
      <c r="D63" s="33"/>
      <c r="E63" s="33"/>
      <c r="F63" s="33"/>
      <c r="G63" s="33"/>
      <c r="H63" s="33"/>
      <c r="I63" s="33"/>
      <c r="J63" s="34"/>
      <c r="K63" s="34"/>
      <c r="L63" s="35" t="str">
        <f aca="false">IF($J63="","",$J63-IF($K63="",0,$K63))</f>
        <v/>
      </c>
      <c r="M63" s="36"/>
      <c r="N63" s="33"/>
      <c r="O63" s="33"/>
      <c r="P63" s="37"/>
      <c r="Q63" s="34"/>
      <c r="R63" s="34"/>
      <c r="S63" s="38" t="str">
        <f aca="false">IF(OR($Q63="",$R63="",$R63=0),"",$Q63/$R63)</f>
        <v/>
      </c>
      <c r="T63" s="18" t="str">
        <f aca="false">IF($S63="","",IF($S63&gt;=0.5,"PROCEDE BAJA","EVALUAR REPARACION"))</f>
        <v/>
      </c>
      <c r="U63" s="34"/>
      <c r="V63" s="33"/>
      <c r="W63" s="33"/>
      <c r="X63" s="33"/>
      <c r="Y63" s="33"/>
      <c r="Z63" s="33"/>
      <c r="AA63" s="33"/>
    </row>
    <row r="64" customFormat="false" ht="15" hidden="false" customHeight="false" outlineLevel="0" collapsed="false">
      <c r="A64" s="33"/>
      <c r="B64" s="33"/>
      <c r="C64" s="33"/>
      <c r="D64" s="33"/>
      <c r="E64" s="33"/>
      <c r="F64" s="33"/>
      <c r="G64" s="33"/>
      <c r="H64" s="33"/>
      <c r="I64" s="33"/>
      <c r="J64" s="34"/>
      <c r="K64" s="34"/>
      <c r="L64" s="35" t="str">
        <f aca="false">IF($J64="","",$J64-IF($K64="",0,$K64))</f>
        <v/>
      </c>
      <c r="M64" s="36"/>
      <c r="N64" s="33"/>
      <c r="O64" s="33"/>
      <c r="P64" s="37"/>
      <c r="Q64" s="34"/>
      <c r="R64" s="34"/>
      <c r="S64" s="38" t="str">
        <f aca="false">IF(OR($Q64="",$R64="",$R64=0),"",$Q64/$R64)</f>
        <v/>
      </c>
      <c r="T64" s="18" t="str">
        <f aca="false">IF($S64="","",IF($S64&gt;=0.5,"PROCEDE BAJA","EVALUAR REPARACION"))</f>
        <v/>
      </c>
      <c r="U64" s="34"/>
      <c r="V64" s="33"/>
      <c r="W64" s="33"/>
      <c r="X64" s="33"/>
      <c r="Y64" s="33"/>
      <c r="Z64" s="33"/>
      <c r="AA64" s="33"/>
    </row>
    <row r="65" customFormat="false" ht="15" hidden="false" customHeight="false" outlineLevel="0" collapsed="false">
      <c r="A65" s="33"/>
      <c r="B65" s="33"/>
      <c r="C65" s="33"/>
      <c r="D65" s="33"/>
      <c r="E65" s="33"/>
      <c r="F65" s="33"/>
      <c r="G65" s="33"/>
      <c r="H65" s="33"/>
      <c r="I65" s="33"/>
      <c r="J65" s="34"/>
      <c r="K65" s="34"/>
      <c r="L65" s="35" t="str">
        <f aca="false">IF($J65="","",$J65-IF($K65="",0,$K65))</f>
        <v/>
      </c>
      <c r="M65" s="36"/>
      <c r="N65" s="33"/>
      <c r="O65" s="33"/>
      <c r="P65" s="37"/>
      <c r="Q65" s="34"/>
      <c r="R65" s="34"/>
      <c r="S65" s="38" t="str">
        <f aca="false">IF(OR($Q65="",$R65="",$R65=0),"",$Q65/$R65)</f>
        <v/>
      </c>
      <c r="T65" s="18" t="str">
        <f aca="false">IF($S65="","",IF($S65&gt;=0.5,"PROCEDE BAJA","EVALUAR REPARACION"))</f>
        <v/>
      </c>
      <c r="U65" s="34"/>
      <c r="V65" s="33"/>
      <c r="W65" s="33"/>
      <c r="X65" s="33"/>
      <c r="Y65" s="33"/>
      <c r="Z65" s="33"/>
      <c r="AA65" s="33"/>
    </row>
    <row r="66" customFormat="false" ht="15" hidden="false" customHeight="false" outlineLevel="0" collapsed="false">
      <c r="A66" s="33"/>
      <c r="B66" s="33"/>
      <c r="C66" s="33"/>
      <c r="D66" s="33"/>
      <c r="E66" s="33"/>
      <c r="F66" s="33"/>
      <c r="G66" s="33"/>
      <c r="H66" s="33"/>
      <c r="I66" s="33"/>
      <c r="J66" s="34"/>
      <c r="K66" s="34"/>
      <c r="L66" s="35" t="str">
        <f aca="false">IF($J66="","",$J66-IF($K66="",0,$K66))</f>
        <v/>
      </c>
      <c r="M66" s="36"/>
      <c r="N66" s="33"/>
      <c r="O66" s="33"/>
      <c r="P66" s="37"/>
      <c r="Q66" s="34"/>
      <c r="R66" s="34"/>
      <c r="S66" s="38" t="str">
        <f aca="false">IF(OR($Q66="",$R66="",$R66=0),"",$Q66/$R66)</f>
        <v/>
      </c>
      <c r="T66" s="18" t="str">
        <f aca="false">IF($S66="","",IF($S66&gt;=0.5,"PROCEDE BAJA","EVALUAR REPARACION"))</f>
        <v/>
      </c>
      <c r="U66" s="34"/>
      <c r="V66" s="33"/>
      <c r="W66" s="33"/>
      <c r="X66" s="33"/>
      <c r="Y66" s="33"/>
      <c r="Z66" s="33"/>
      <c r="AA66" s="33"/>
    </row>
    <row r="67" customFormat="false" ht="15" hidden="false" customHeight="false" outlineLevel="0" collapsed="false">
      <c r="A67" s="33"/>
      <c r="B67" s="33"/>
      <c r="C67" s="33"/>
      <c r="D67" s="33"/>
      <c r="E67" s="33"/>
      <c r="F67" s="33"/>
      <c r="G67" s="33"/>
      <c r="H67" s="33"/>
      <c r="I67" s="33"/>
      <c r="J67" s="34"/>
      <c r="K67" s="34"/>
      <c r="L67" s="35" t="str">
        <f aca="false">IF($J67="","",$J67-IF($K67="",0,$K67))</f>
        <v/>
      </c>
      <c r="M67" s="36"/>
      <c r="N67" s="33"/>
      <c r="O67" s="33"/>
      <c r="P67" s="37"/>
      <c r="Q67" s="34"/>
      <c r="R67" s="34"/>
      <c r="S67" s="38" t="str">
        <f aca="false">IF(OR($Q67="",$R67="",$R67=0),"",$Q67/$R67)</f>
        <v/>
      </c>
      <c r="T67" s="18" t="str">
        <f aca="false">IF($S67="","",IF($S67&gt;=0.5,"PROCEDE BAJA","EVALUAR REPARACION"))</f>
        <v/>
      </c>
      <c r="U67" s="34"/>
      <c r="V67" s="33"/>
      <c r="W67" s="33"/>
      <c r="X67" s="33"/>
      <c r="Y67" s="33"/>
      <c r="Z67" s="33"/>
      <c r="AA67" s="33"/>
    </row>
    <row r="68" customFormat="false" ht="15" hidden="false" customHeight="false" outlineLevel="0" collapsed="false">
      <c r="A68" s="33"/>
      <c r="B68" s="33"/>
      <c r="C68" s="33"/>
      <c r="D68" s="33"/>
      <c r="E68" s="33"/>
      <c r="F68" s="33"/>
      <c r="G68" s="33"/>
      <c r="H68" s="33"/>
      <c r="I68" s="33"/>
      <c r="J68" s="34"/>
      <c r="K68" s="34"/>
      <c r="L68" s="35" t="str">
        <f aca="false">IF($J68="","",$J68-IF($K68="",0,$K68))</f>
        <v/>
      </c>
      <c r="M68" s="36"/>
      <c r="N68" s="33"/>
      <c r="O68" s="33"/>
      <c r="P68" s="37"/>
      <c r="Q68" s="34"/>
      <c r="R68" s="34"/>
      <c r="S68" s="38" t="str">
        <f aca="false">IF(OR($Q68="",$R68="",$R68=0),"",$Q68/$R68)</f>
        <v/>
      </c>
      <c r="T68" s="18" t="str">
        <f aca="false">IF($S68="","",IF($S68&gt;=0.5,"PROCEDE BAJA","EVALUAR REPARACION"))</f>
        <v/>
      </c>
      <c r="U68" s="34"/>
      <c r="V68" s="33"/>
      <c r="W68" s="33"/>
      <c r="X68" s="33"/>
      <c r="Y68" s="33"/>
      <c r="Z68" s="33"/>
      <c r="AA68" s="33"/>
    </row>
    <row r="69" customFormat="false" ht="15" hidden="false" customHeight="false" outlineLevel="0" collapsed="false">
      <c r="A69" s="33"/>
      <c r="B69" s="33"/>
      <c r="C69" s="33"/>
      <c r="D69" s="33"/>
      <c r="E69" s="33"/>
      <c r="F69" s="33"/>
      <c r="G69" s="33"/>
      <c r="H69" s="33"/>
      <c r="I69" s="33"/>
      <c r="J69" s="34"/>
      <c r="K69" s="34"/>
      <c r="L69" s="35" t="str">
        <f aca="false">IF($J69="","",$J69-IF($K69="",0,$K69))</f>
        <v/>
      </c>
      <c r="M69" s="36"/>
      <c r="N69" s="33"/>
      <c r="O69" s="33"/>
      <c r="P69" s="37"/>
      <c r="Q69" s="34"/>
      <c r="R69" s="34"/>
      <c r="S69" s="38" t="str">
        <f aca="false">IF(OR($Q69="",$R69="",$R69=0),"",$Q69/$R69)</f>
        <v/>
      </c>
      <c r="T69" s="18" t="str">
        <f aca="false">IF($S69="","",IF($S69&gt;=0.5,"PROCEDE BAJA","EVALUAR REPARACION"))</f>
        <v/>
      </c>
      <c r="U69" s="34"/>
      <c r="V69" s="33"/>
      <c r="W69" s="33"/>
      <c r="X69" s="33"/>
      <c r="Y69" s="33"/>
      <c r="Z69" s="33"/>
      <c r="AA69" s="33"/>
    </row>
    <row r="70" customFormat="false" ht="15" hidden="false" customHeight="false" outlineLevel="0" collapsed="false">
      <c r="A70" s="33"/>
      <c r="B70" s="33"/>
      <c r="C70" s="33"/>
      <c r="D70" s="33"/>
      <c r="E70" s="33"/>
      <c r="F70" s="33"/>
      <c r="G70" s="33"/>
      <c r="H70" s="33"/>
      <c r="I70" s="33"/>
      <c r="J70" s="34"/>
      <c r="K70" s="34"/>
      <c r="L70" s="35" t="str">
        <f aca="false">IF($J70="","",$J70-IF($K70="",0,$K70))</f>
        <v/>
      </c>
      <c r="M70" s="36"/>
      <c r="N70" s="33"/>
      <c r="O70" s="33"/>
      <c r="P70" s="37"/>
      <c r="Q70" s="34"/>
      <c r="R70" s="34"/>
      <c r="S70" s="38" t="str">
        <f aca="false">IF(OR($Q70="",$R70="",$R70=0),"",$Q70/$R70)</f>
        <v/>
      </c>
      <c r="T70" s="18" t="str">
        <f aca="false">IF($S70="","",IF($S70&gt;=0.5,"PROCEDE BAJA","EVALUAR REPARACION"))</f>
        <v/>
      </c>
      <c r="U70" s="34"/>
      <c r="V70" s="33"/>
      <c r="W70" s="33"/>
      <c r="X70" s="33"/>
      <c r="Y70" s="33"/>
      <c r="Z70" s="33"/>
      <c r="AA70" s="33"/>
    </row>
    <row r="71" customFormat="false" ht="15" hidden="false" customHeight="false" outlineLevel="0" collapsed="false">
      <c r="A71" s="33"/>
      <c r="B71" s="33"/>
      <c r="C71" s="33"/>
      <c r="D71" s="33"/>
      <c r="E71" s="33"/>
      <c r="F71" s="33"/>
      <c r="G71" s="33"/>
      <c r="H71" s="33"/>
      <c r="I71" s="33"/>
      <c r="J71" s="34"/>
      <c r="K71" s="34"/>
      <c r="L71" s="35" t="str">
        <f aca="false">IF($J71="","",$J71-IF($K71="",0,$K71))</f>
        <v/>
      </c>
      <c r="M71" s="36"/>
      <c r="N71" s="33"/>
      <c r="O71" s="33"/>
      <c r="P71" s="37"/>
      <c r="Q71" s="34"/>
      <c r="R71" s="34"/>
      <c r="S71" s="38" t="str">
        <f aca="false">IF(OR($Q71="",$R71="",$R71=0),"",$Q71/$R71)</f>
        <v/>
      </c>
      <c r="T71" s="18" t="str">
        <f aca="false">IF($S71="","",IF($S71&gt;=0.5,"PROCEDE BAJA","EVALUAR REPARACION"))</f>
        <v/>
      </c>
      <c r="U71" s="34"/>
      <c r="V71" s="33"/>
      <c r="W71" s="33"/>
      <c r="X71" s="33"/>
      <c r="Y71" s="33"/>
      <c r="Z71" s="33"/>
      <c r="AA71" s="33"/>
    </row>
    <row r="72" customFormat="false" ht="15" hidden="false" customHeight="false" outlineLevel="0" collapsed="false">
      <c r="A72" s="33"/>
      <c r="B72" s="33"/>
      <c r="C72" s="33"/>
      <c r="D72" s="33"/>
      <c r="E72" s="33"/>
      <c r="F72" s="33"/>
      <c r="G72" s="33"/>
      <c r="H72" s="33"/>
      <c r="I72" s="33"/>
      <c r="J72" s="34"/>
      <c r="K72" s="34"/>
      <c r="L72" s="35" t="str">
        <f aca="false">IF($J72="","",$J72-IF($K72="",0,$K72))</f>
        <v/>
      </c>
      <c r="M72" s="36"/>
      <c r="N72" s="33"/>
      <c r="O72" s="33"/>
      <c r="P72" s="37"/>
      <c r="Q72" s="34"/>
      <c r="R72" s="34"/>
      <c r="S72" s="38" t="str">
        <f aca="false">IF(OR($Q72="",$R72="",$R72=0),"",$Q72/$R72)</f>
        <v/>
      </c>
      <c r="T72" s="18" t="str">
        <f aca="false">IF($S72="","",IF($S72&gt;=0.5,"PROCEDE BAJA","EVALUAR REPARACION"))</f>
        <v/>
      </c>
      <c r="U72" s="34"/>
      <c r="V72" s="33"/>
      <c r="W72" s="33"/>
      <c r="X72" s="33"/>
      <c r="Y72" s="33"/>
      <c r="Z72" s="33"/>
      <c r="AA72" s="33"/>
    </row>
    <row r="73" customFormat="false" ht="15" hidden="false" customHeight="false" outlineLevel="0" collapsed="false">
      <c r="A73" s="33"/>
      <c r="B73" s="33"/>
      <c r="C73" s="33"/>
      <c r="D73" s="33"/>
      <c r="E73" s="33"/>
      <c r="F73" s="33"/>
      <c r="G73" s="33"/>
      <c r="H73" s="33"/>
      <c r="I73" s="33"/>
      <c r="J73" s="34"/>
      <c r="K73" s="34"/>
      <c r="L73" s="35" t="str">
        <f aca="false">IF($J73="","",$J73-IF($K73="",0,$K73))</f>
        <v/>
      </c>
      <c r="M73" s="36"/>
      <c r="N73" s="33"/>
      <c r="O73" s="33"/>
      <c r="P73" s="37"/>
      <c r="Q73" s="34"/>
      <c r="R73" s="34"/>
      <c r="S73" s="38" t="str">
        <f aca="false">IF(OR($Q73="",$R73="",$R73=0),"",$Q73/$R73)</f>
        <v/>
      </c>
      <c r="T73" s="18" t="str">
        <f aca="false">IF($S73="","",IF($S73&gt;=0.5,"PROCEDE BAJA","EVALUAR REPARACION"))</f>
        <v/>
      </c>
      <c r="U73" s="34"/>
      <c r="V73" s="33"/>
      <c r="W73" s="33"/>
      <c r="X73" s="33"/>
      <c r="Y73" s="33"/>
      <c r="Z73" s="33"/>
      <c r="AA73" s="33"/>
    </row>
    <row r="74" customFormat="false" ht="15" hidden="false" customHeight="false" outlineLevel="0" collapsed="false">
      <c r="A74" s="33"/>
      <c r="B74" s="33"/>
      <c r="C74" s="33"/>
      <c r="D74" s="33"/>
      <c r="E74" s="33"/>
      <c r="F74" s="33"/>
      <c r="G74" s="33"/>
      <c r="H74" s="33"/>
      <c r="I74" s="33"/>
      <c r="J74" s="34"/>
      <c r="K74" s="34"/>
      <c r="L74" s="35" t="str">
        <f aca="false">IF($J74="","",$J74-IF($K74="",0,$K74))</f>
        <v/>
      </c>
      <c r="M74" s="36"/>
      <c r="N74" s="33"/>
      <c r="O74" s="33"/>
      <c r="P74" s="37"/>
      <c r="Q74" s="34"/>
      <c r="R74" s="34"/>
      <c r="S74" s="38" t="str">
        <f aca="false">IF(OR($Q74="",$R74="",$R74=0),"",$Q74/$R74)</f>
        <v/>
      </c>
      <c r="T74" s="18" t="str">
        <f aca="false">IF($S74="","",IF($S74&gt;=0.5,"PROCEDE BAJA","EVALUAR REPARACION"))</f>
        <v/>
      </c>
      <c r="U74" s="34"/>
      <c r="V74" s="33"/>
      <c r="W74" s="33"/>
      <c r="X74" s="33"/>
      <c r="Y74" s="33"/>
      <c r="Z74" s="33"/>
      <c r="AA74" s="33"/>
    </row>
    <row r="75" customFormat="false" ht="15" hidden="false" customHeight="false" outlineLevel="0" collapsed="false">
      <c r="A75" s="33"/>
      <c r="B75" s="33"/>
      <c r="C75" s="33"/>
      <c r="D75" s="33"/>
      <c r="E75" s="33"/>
      <c r="F75" s="33"/>
      <c r="G75" s="33"/>
      <c r="H75" s="33"/>
      <c r="I75" s="33"/>
      <c r="J75" s="34"/>
      <c r="K75" s="34"/>
      <c r="L75" s="35" t="str">
        <f aca="false">IF($J75="","",$J75-IF($K75="",0,$K75))</f>
        <v/>
      </c>
      <c r="M75" s="36"/>
      <c r="N75" s="33"/>
      <c r="O75" s="33"/>
      <c r="P75" s="37"/>
      <c r="Q75" s="34"/>
      <c r="R75" s="34"/>
      <c r="S75" s="38" t="str">
        <f aca="false">IF(OR($Q75="",$R75="",$R75=0),"",$Q75/$R75)</f>
        <v/>
      </c>
      <c r="T75" s="18" t="str">
        <f aca="false">IF($S75="","",IF($S75&gt;=0.5,"PROCEDE BAJA","EVALUAR REPARACION"))</f>
        <v/>
      </c>
      <c r="U75" s="34"/>
      <c r="V75" s="33"/>
      <c r="W75" s="33"/>
      <c r="X75" s="33"/>
      <c r="Y75" s="33"/>
      <c r="Z75" s="33"/>
      <c r="AA75" s="33"/>
    </row>
    <row r="76" customFormat="false" ht="15" hidden="false" customHeight="false" outlineLevel="0" collapsed="false">
      <c r="A76" s="33"/>
      <c r="B76" s="33"/>
      <c r="C76" s="33"/>
      <c r="D76" s="33"/>
      <c r="E76" s="33"/>
      <c r="F76" s="33"/>
      <c r="G76" s="33"/>
      <c r="H76" s="33"/>
      <c r="I76" s="33"/>
      <c r="J76" s="34"/>
      <c r="K76" s="34"/>
      <c r="L76" s="35" t="str">
        <f aca="false">IF($J76="","",$J76-IF($K76="",0,$K76))</f>
        <v/>
      </c>
      <c r="M76" s="36"/>
      <c r="N76" s="33"/>
      <c r="O76" s="33"/>
      <c r="P76" s="37"/>
      <c r="Q76" s="34"/>
      <c r="R76" s="34"/>
      <c r="S76" s="38" t="str">
        <f aca="false">IF(OR($Q76="",$R76="",$R76=0),"",$Q76/$R76)</f>
        <v/>
      </c>
      <c r="T76" s="18" t="str">
        <f aca="false">IF($S76="","",IF($S76&gt;=0.5,"PROCEDE BAJA","EVALUAR REPARACION"))</f>
        <v/>
      </c>
      <c r="U76" s="34"/>
      <c r="V76" s="33"/>
      <c r="W76" s="33"/>
      <c r="X76" s="33"/>
      <c r="Y76" s="33"/>
      <c r="Z76" s="33"/>
      <c r="AA76" s="33"/>
    </row>
    <row r="77" customFormat="false" ht="15" hidden="false" customHeight="false" outlineLevel="0" collapsed="false">
      <c r="A77" s="33"/>
      <c r="B77" s="33"/>
      <c r="C77" s="33"/>
      <c r="D77" s="33"/>
      <c r="E77" s="33"/>
      <c r="F77" s="33"/>
      <c r="G77" s="33"/>
      <c r="H77" s="33"/>
      <c r="I77" s="33"/>
      <c r="J77" s="34"/>
      <c r="K77" s="34"/>
      <c r="L77" s="35" t="str">
        <f aca="false">IF($J77="","",$J77-IF($K77="",0,$K77))</f>
        <v/>
      </c>
      <c r="M77" s="36"/>
      <c r="N77" s="33"/>
      <c r="O77" s="33"/>
      <c r="P77" s="37"/>
      <c r="Q77" s="34"/>
      <c r="R77" s="34"/>
      <c r="S77" s="38" t="str">
        <f aca="false">IF(OR($Q77="",$R77="",$R77=0),"",$Q77/$R77)</f>
        <v/>
      </c>
      <c r="T77" s="18" t="str">
        <f aca="false">IF($S77="","",IF($S77&gt;=0.5,"PROCEDE BAJA","EVALUAR REPARACION"))</f>
        <v/>
      </c>
      <c r="U77" s="34"/>
      <c r="V77" s="33"/>
      <c r="W77" s="33"/>
      <c r="X77" s="33"/>
      <c r="Y77" s="33"/>
      <c r="Z77" s="33"/>
      <c r="AA77" s="33"/>
    </row>
    <row r="78" customFormat="false" ht="15" hidden="false" customHeight="false" outlineLevel="0" collapsed="false">
      <c r="A78" s="33"/>
      <c r="B78" s="33"/>
      <c r="C78" s="33"/>
      <c r="D78" s="33"/>
      <c r="E78" s="33"/>
      <c r="F78" s="33"/>
      <c r="G78" s="33"/>
      <c r="H78" s="33"/>
      <c r="I78" s="33"/>
      <c r="J78" s="34"/>
      <c r="K78" s="34"/>
      <c r="L78" s="35" t="str">
        <f aca="false">IF($J78="","",$J78-IF($K78="",0,$K78))</f>
        <v/>
      </c>
      <c r="M78" s="36"/>
      <c r="N78" s="33"/>
      <c r="O78" s="33"/>
      <c r="P78" s="37"/>
      <c r="Q78" s="34"/>
      <c r="R78" s="34"/>
      <c r="S78" s="38" t="str">
        <f aca="false">IF(OR($Q78="",$R78="",$R78=0),"",$Q78/$R78)</f>
        <v/>
      </c>
      <c r="T78" s="18" t="str">
        <f aca="false">IF($S78="","",IF($S78&gt;=0.5,"PROCEDE BAJA","EVALUAR REPARACION"))</f>
        <v/>
      </c>
      <c r="U78" s="34"/>
      <c r="V78" s="33"/>
      <c r="W78" s="33"/>
      <c r="X78" s="33"/>
      <c r="Y78" s="33"/>
      <c r="Z78" s="33"/>
      <c r="AA78" s="33"/>
    </row>
    <row r="79" customFormat="false" ht="15" hidden="false" customHeight="false" outlineLevel="0" collapsed="false">
      <c r="A79" s="33"/>
      <c r="B79" s="33"/>
      <c r="C79" s="33"/>
      <c r="D79" s="33"/>
      <c r="E79" s="33"/>
      <c r="F79" s="33"/>
      <c r="G79" s="33"/>
      <c r="H79" s="33"/>
      <c r="I79" s="33"/>
      <c r="J79" s="34"/>
      <c r="K79" s="34"/>
      <c r="L79" s="35" t="str">
        <f aca="false">IF($J79="","",$J79-IF($K79="",0,$K79))</f>
        <v/>
      </c>
      <c r="M79" s="36"/>
      <c r="N79" s="33"/>
      <c r="O79" s="33"/>
      <c r="P79" s="37"/>
      <c r="Q79" s="34"/>
      <c r="R79" s="34"/>
      <c r="S79" s="38" t="str">
        <f aca="false">IF(OR($Q79="",$R79="",$R79=0),"",$Q79/$R79)</f>
        <v/>
      </c>
      <c r="T79" s="18" t="str">
        <f aca="false">IF($S79="","",IF($S79&gt;=0.5,"PROCEDE BAJA","EVALUAR REPARACION"))</f>
        <v/>
      </c>
      <c r="U79" s="34"/>
      <c r="V79" s="33"/>
      <c r="W79" s="33"/>
      <c r="X79" s="33"/>
      <c r="Y79" s="33"/>
      <c r="Z79" s="33"/>
      <c r="AA79" s="33"/>
    </row>
    <row r="80" customFormat="false" ht="15" hidden="false" customHeight="false" outlineLevel="0" collapsed="false">
      <c r="A80" s="33"/>
      <c r="B80" s="33"/>
      <c r="C80" s="33"/>
      <c r="D80" s="33"/>
      <c r="E80" s="33"/>
      <c r="F80" s="33"/>
      <c r="G80" s="33"/>
      <c r="H80" s="33"/>
      <c r="I80" s="33"/>
      <c r="J80" s="34"/>
      <c r="K80" s="34"/>
      <c r="L80" s="35" t="str">
        <f aca="false">IF($J80="","",$J80-IF($K80="",0,$K80))</f>
        <v/>
      </c>
      <c r="M80" s="36"/>
      <c r="N80" s="33"/>
      <c r="O80" s="33"/>
      <c r="P80" s="37"/>
      <c r="Q80" s="34"/>
      <c r="R80" s="34"/>
      <c r="S80" s="38" t="str">
        <f aca="false">IF(OR($Q80="",$R80="",$R80=0),"",$Q80/$R80)</f>
        <v/>
      </c>
      <c r="T80" s="18" t="str">
        <f aca="false">IF($S80="","",IF($S80&gt;=0.5,"PROCEDE BAJA","EVALUAR REPARACION"))</f>
        <v/>
      </c>
      <c r="U80" s="34"/>
      <c r="V80" s="33"/>
      <c r="W80" s="33"/>
      <c r="X80" s="33"/>
      <c r="Y80" s="33"/>
      <c r="Z80" s="33"/>
      <c r="AA80" s="33"/>
    </row>
    <row r="81" customFormat="false" ht="15" hidden="false" customHeight="false" outlineLevel="0" collapsed="false">
      <c r="A81" s="33"/>
      <c r="B81" s="33"/>
      <c r="C81" s="33"/>
      <c r="D81" s="33"/>
      <c r="E81" s="33"/>
      <c r="F81" s="33"/>
      <c r="G81" s="33"/>
      <c r="H81" s="33"/>
      <c r="I81" s="33"/>
      <c r="J81" s="34"/>
      <c r="K81" s="34"/>
      <c r="L81" s="35" t="str">
        <f aca="false">IF($J81="","",$J81-IF($K81="",0,$K81))</f>
        <v/>
      </c>
      <c r="M81" s="36"/>
      <c r="N81" s="33"/>
      <c r="O81" s="33"/>
      <c r="P81" s="37"/>
      <c r="Q81" s="34"/>
      <c r="R81" s="34"/>
      <c r="S81" s="38" t="str">
        <f aca="false">IF(OR($Q81="",$R81="",$R81=0),"",$Q81/$R81)</f>
        <v/>
      </c>
      <c r="T81" s="18" t="str">
        <f aca="false">IF($S81="","",IF($S81&gt;=0.5,"PROCEDE BAJA","EVALUAR REPARACION"))</f>
        <v/>
      </c>
      <c r="U81" s="34"/>
      <c r="V81" s="33"/>
      <c r="W81" s="33"/>
      <c r="X81" s="33"/>
      <c r="Y81" s="33"/>
      <c r="Z81" s="33"/>
      <c r="AA81" s="33"/>
    </row>
    <row r="82" customFormat="false" ht="15" hidden="false" customHeight="false" outlineLevel="0" collapsed="false">
      <c r="A82" s="33"/>
      <c r="B82" s="33"/>
      <c r="C82" s="33"/>
      <c r="D82" s="33"/>
      <c r="E82" s="33"/>
      <c r="F82" s="33"/>
      <c r="G82" s="33"/>
      <c r="H82" s="33"/>
      <c r="I82" s="33"/>
      <c r="J82" s="34"/>
      <c r="K82" s="34"/>
      <c r="L82" s="35" t="str">
        <f aca="false">IF($J82="","",$J82-IF($K82="",0,$K82))</f>
        <v/>
      </c>
      <c r="M82" s="36"/>
      <c r="N82" s="33"/>
      <c r="O82" s="33"/>
      <c r="P82" s="37"/>
      <c r="Q82" s="34"/>
      <c r="R82" s="34"/>
      <c r="S82" s="38" t="str">
        <f aca="false">IF(OR($Q82="",$R82="",$R82=0),"",$Q82/$R82)</f>
        <v/>
      </c>
      <c r="T82" s="18" t="str">
        <f aca="false">IF($S82="","",IF($S82&gt;=0.5,"PROCEDE BAJA","EVALUAR REPARACION"))</f>
        <v/>
      </c>
      <c r="U82" s="34"/>
      <c r="V82" s="33"/>
      <c r="W82" s="33"/>
      <c r="X82" s="33"/>
      <c r="Y82" s="33"/>
      <c r="Z82" s="33"/>
      <c r="AA82" s="33"/>
    </row>
    <row r="83" customFormat="false" ht="15" hidden="false" customHeight="false" outlineLevel="0" collapsed="false">
      <c r="A83" s="33"/>
      <c r="B83" s="33"/>
      <c r="C83" s="33"/>
      <c r="D83" s="33"/>
      <c r="E83" s="33"/>
      <c r="F83" s="33"/>
      <c r="G83" s="33"/>
      <c r="H83" s="33"/>
      <c r="I83" s="33"/>
      <c r="J83" s="34"/>
      <c r="K83" s="34"/>
      <c r="L83" s="35" t="str">
        <f aca="false">IF($J83="","",$J83-IF($K83="",0,$K83))</f>
        <v/>
      </c>
      <c r="M83" s="36"/>
      <c r="N83" s="33"/>
      <c r="O83" s="33"/>
      <c r="P83" s="37"/>
      <c r="Q83" s="34"/>
      <c r="R83" s="34"/>
      <c r="S83" s="38" t="str">
        <f aca="false">IF(OR($Q83="",$R83="",$R83=0),"",$Q83/$R83)</f>
        <v/>
      </c>
      <c r="T83" s="18" t="str">
        <f aca="false">IF($S83="","",IF($S83&gt;=0.5,"PROCEDE BAJA","EVALUAR REPARACION"))</f>
        <v/>
      </c>
      <c r="U83" s="34"/>
      <c r="V83" s="33"/>
      <c r="W83" s="33"/>
      <c r="X83" s="33"/>
      <c r="Y83" s="33"/>
      <c r="Z83" s="33"/>
      <c r="AA83" s="33"/>
    </row>
    <row r="84" customFormat="false" ht="15" hidden="false" customHeight="false" outlineLevel="0" collapsed="false">
      <c r="A84" s="33"/>
      <c r="B84" s="33"/>
      <c r="C84" s="33"/>
      <c r="D84" s="33"/>
      <c r="E84" s="33"/>
      <c r="F84" s="33"/>
      <c r="G84" s="33"/>
      <c r="H84" s="33"/>
      <c r="I84" s="33"/>
      <c r="J84" s="34"/>
      <c r="K84" s="34"/>
      <c r="L84" s="35" t="str">
        <f aca="false">IF($J84="","",$J84-IF($K84="",0,$K84))</f>
        <v/>
      </c>
      <c r="M84" s="36"/>
      <c r="N84" s="33"/>
      <c r="O84" s="33"/>
      <c r="P84" s="37"/>
      <c r="Q84" s="34"/>
      <c r="R84" s="34"/>
      <c r="S84" s="38" t="str">
        <f aca="false">IF(OR($Q84="",$R84="",$R84=0),"",$Q84/$R84)</f>
        <v/>
      </c>
      <c r="T84" s="18" t="str">
        <f aca="false">IF($S84="","",IF($S84&gt;=0.5,"PROCEDE BAJA","EVALUAR REPARACION"))</f>
        <v/>
      </c>
      <c r="U84" s="34"/>
      <c r="V84" s="33"/>
      <c r="W84" s="33"/>
      <c r="X84" s="33"/>
      <c r="Y84" s="33"/>
      <c r="Z84" s="33"/>
      <c r="AA84" s="33"/>
    </row>
    <row r="85" customFormat="false" ht="15" hidden="false" customHeight="false" outlineLevel="0" collapsed="false">
      <c r="A85" s="33"/>
      <c r="B85" s="33"/>
      <c r="C85" s="33"/>
      <c r="D85" s="33"/>
      <c r="E85" s="33"/>
      <c r="F85" s="33"/>
      <c r="G85" s="33"/>
      <c r="H85" s="33"/>
      <c r="I85" s="33"/>
      <c r="J85" s="34"/>
      <c r="K85" s="34"/>
      <c r="L85" s="35" t="str">
        <f aca="false">IF($J85="","",$J85-IF($K85="",0,$K85))</f>
        <v/>
      </c>
      <c r="M85" s="36"/>
      <c r="N85" s="33"/>
      <c r="O85" s="33"/>
      <c r="P85" s="37"/>
      <c r="Q85" s="34"/>
      <c r="R85" s="34"/>
      <c r="S85" s="38" t="str">
        <f aca="false">IF(OR($Q85="",$R85="",$R85=0),"",$Q85/$R85)</f>
        <v/>
      </c>
      <c r="T85" s="18" t="str">
        <f aca="false">IF($S85="","",IF($S85&gt;=0.5,"PROCEDE BAJA","EVALUAR REPARACION"))</f>
        <v/>
      </c>
      <c r="U85" s="34"/>
      <c r="V85" s="33"/>
      <c r="W85" s="33"/>
      <c r="X85" s="33"/>
      <c r="Y85" s="33"/>
      <c r="Z85" s="33"/>
      <c r="AA85" s="33"/>
    </row>
    <row r="86" customFormat="false" ht="15" hidden="false" customHeight="false" outlineLevel="0" collapsed="false">
      <c r="A86" s="33"/>
      <c r="B86" s="33"/>
      <c r="C86" s="33"/>
      <c r="D86" s="33"/>
      <c r="E86" s="33"/>
      <c r="F86" s="33"/>
      <c r="G86" s="33"/>
      <c r="H86" s="33"/>
      <c r="I86" s="33"/>
      <c r="J86" s="34"/>
      <c r="K86" s="34"/>
      <c r="L86" s="35" t="str">
        <f aca="false">IF($J86="","",$J86-IF($K86="",0,$K86))</f>
        <v/>
      </c>
      <c r="M86" s="36"/>
      <c r="N86" s="33"/>
      <c r="O86" s="33"/>
      <c r="P86" s="37"/>
      <c r="Q86" s="34"/>
      <c r="R86" s="34"/>
      <c r="S86" s="38" t="str">
        <f aca="false">IF(OR($Q86="",$R86="",$R86=0),"",$Q86/$R86)</f>
        <v/>
      </c>
      <c r="T86" s="18" t="str">
        <f aca="false">IF($S86="","",IF($S86&gt;=0.5,"PROCEDE BAJA","EVALUAR REPARACION"))</f>
        <v/>
      </c>
      <c r="U86" s="34"/>
      <c r="V86" s="33"/>
      <c r="W86" s="33"/>
      <c r="X86" s="33"/>
      <c r="Y86" s="33"/>
      <c r="Z86" s="33"/>
      <c r="AA86" s="33"/>
    </row>
    <row r="87" customFormat="false" ht="15" hidden="false" customHeight="false" outlineLevel="0" collapsed="false">
      <c r="A87" s="33"/>
      <c r="B87" s="33"/>
      <c r="C87" s="33"/>
      <c r="D87" s="33"/>
      <c r="E87" s="33"/>
      <c r="F87" s="33"/>
      <c r="G87" s="33"/>
      <c r="H87" s="33"/>
      <c r="I87" s="33"/>
      <c r="J87" s="34"/>
      <c r="K87" s="34"/>
      <c r="L87" s="35" t="str">
        <f aca="false">IF($J87="","",$J87-IF($K87="",0,$K87))</f>
        <v/>
      </c>
      <c r="M87" s="36"/>
      <c r="N87" s="33"/>
      <c r="O87" s="33"/>
      <c r="P87" s="37"/>
      <c r="Q87" s="34"/>
      <c r="R87" s="34"/>
      <c r="S87" s="38" t="str">
        <f aca="false">IF(OR($Q87="",$R87="",$R87=0),"",$Q87/$R87)</f>
        <v/>
      </c>
      <c r="T87" s="18" t="str">
        <f aca="false">IF($S87="","",IF($S87&gt;=0.5,"PROCEDE BAJA","EVALUAR REPARACION"))</f>
        <v/>
      </c>
      <c r="U87" s="34"/>
      <c r="V87" s="33"/>
      <c r="W87" s="33"/>
      <c r="X87" s="33"/>
      <c r="Y87" s="33"/>
      <c r="Z87" s="33"/>
      <c r="AA87" s="33"/>
    </row>
    <row r="88" customFormat="false" ht="15" hidden="false" customHeight="false" outlineLevel="0" collapsed="false">
      <c r="A88" s="33"/>
      <c r="B88" s="33"/>
      <c r="C88" s="33"/>
      <c r="D88" s="33"/>
      <c r="E88" s="33"/>
      <c r="F88" s="33"/>
      <c r="G88" s="33"/>
      <c r="H88" s="33"/>
      <c r="I88" s="33"/>
      <c r="J88" s="34"/>
      <c r="K88" s="34"/>
      <c r="L88" s="35" t="str">
        <f aca="false">IF($J88="","",$J88-IF($K88="",0,$K88))</f>
        <v/>
      </c>
      <c r="M88" s="36"/>
      <c r="N88" s="33"/>
      <c r="O88" s="33"/>
      <c r="P88" s="37"/>
      <c r="Q88" s="34"/>
      <c r="R88" s="34"/>
      <c r="S88" s="38" t="str">
        <f aca="false">IF(OR($Q88="",$R88="",$R88=0),"",$Q88/$R88)</f>
        <v/>
      </c>
      <c r="T88" s="18" t="str">
        <f aca="false">IF($S88="","",IF($S88&gt;=0.5,"PROCEDE BAJA","EVALUAR REPARACION"))</f>
        <v/>
      </c>
      <c r="U88" s="34"/>
      <c r="V88" s="33"/>
      <c r="W88" s="33"/>
      <c r="X88" s="33"/>
      <c r="Y88" s="33"/>
      <c r="Z88" s="33"/>
      <c r="AA88" s="33"/>
    </row>
    <row r="89" customFormat="false" ht="15" hidden="false" customHeight="false" outlineLevel="0" collapsed="false">
      <c r="A89" s="33"/>
      <c r="B89" s="33"/>
      <c r="C89" s="33"/>
      <c r="D89" s="33"/>
      <c r="E89" s="33"/>
      <c r="F89" s="33"/>
      <c r="G89" s="33"/>
      <c r="H89" s="33"/>
      <c r="I89" s="33"/>
      <c r="J89" s="34"/>
      <c r="K89" s="34"/>
      <c r="L89" s="35" t="str">
        <f aca="false">IF($J89="","",$J89-IF($K89="",0,$K89))</f>
        <v/>
      </c>
      <c r="M89" s="36"/>
      <c r="N89" s="33"/>
      <c r="O89" s="33"/>
      <c r="P89" s="37"/>
      <c r="Q89" s="34"/>
      <c r="R89" s="34"/>
      <c r="S89" s="38" t="str">
        <f aca="false">IF(OR($Q89="",$R89="",$R89=0),"",$Q89/$R89)</f>
        <v/>
      </c>
      <c r="T89" s="18" t="str">
        <f aca="false">IF($S89="","",IF($S89&gt;=0.5,"PROCEDE BAJA","EVALUAR REPARACION"))</f>
        <v/>
      </c>
      <c r="U89" s="34"/>
      <c r="V89" s="33"/>
      <c r="W89" s="33"/>
      <c r="X89" s="33"/>
      <c r="Y89" s="33"/>
      <c r="Z89" s="33"/>
      <c r="AA89" s="33"/>
    </row>
    <row r="90" customFormat="false" ht="15" hidden="false" customHeight="false" outlineLevel="0" collapsed="false">
      <c r="A90" s="33"/>
      <c r="B90" s="33"/>
      <c r="C90" s="33"/>
      <c r="D90" s="33"/>
      <c r="E90" s="33"/>
      <c r="F90" s="33"/>
      <c r="G90" s="33"/>
      <c r="H90" s="33"/>
      <c r="I90" s="33"/>
      <c r="J90" s="34"/>
      <c r="K90" s="34"/>
      <c r="L90" s="35" t="str">
        <f aca="false">IF($J90="","",$J90-IF($K90="",0,$K90))</f>
        <v/>
      </c>
      <c r="M90" s="36"/>
      <c r="N90" s="33"/>
      <c r="O90" s="33"/>
      <c r="P90" s="37"/>
      <c r="Q90" s="34"/>
      <c r="R90" s="34"/>
      <c r="S90" s="38" t="str">
        <f aca="false">IF(OR($Q90="",$R90="",$R90=0),"",$Q90/$R90)</f>
        <v/>
      </c>
      <c r="T90" s="18" t="str">
        <f aca="false">IF($S90="","",IF($S90&gt;=0.5,"PROCEDE BAJA","EVALUAR REPARACION"))</f>
        <v/>
      </c>
      <c r="U90" s="34"/>
      <c r="V90" s="33"/>
      <c r="W90" s="33"/>
      <c r="X90" s="33"/>
      <c r="Y90" s="33"/>
      <c r="Z90" s="33"/>
      <c r="AA90" s="33"/>
    </row>
    <row r="91" customFormat="false" ht="15" hidden="false" customHeight="false" outlineLevel="0" collapsed="false">
      <c r="A91" s="33"/>
      <c r="B91" s="33"/>
      <c r="C91" s="33"/>
      <c r="D91" s="33"/>
      <c r="E91" s="33"/>
      <c r="F91" s="33"/>
      <c r="G91" s="33"/>
      <c r="H91" s="33"/>
      <c r="I91" s="33"/>
      <c r="J91" s="34"/>
      <c r="K91" s="34"/>
      <c r="L91" s="35" t="str">
        <f aca="false">IF($J91="","",$J91-IF($K91="",0,$K91))</f>
        <v/>
      </c>
      <c r="M91" s="36"/>
      <c r="N91" s="33"/>
      <c r="O91" s="33"/>
      <c r="P91" s="37"/>
      <c r="Q91" s="34"/>
      <c r="R91" s="34"/>
      <c r="S91" s="38" t="str">
        <f aca="false">IF(OR($Q91="",$R91="",$R91=0),"",$Q91/$R91)</f>
        <v/>
      </c>
      <c r="T91" s="18" t="str">
        <f aca="false">IF($S91="","",IF($S91&gt;=0.5,"PROCEDE BAJA","EVALUAR REPARACION"))</f>
        <v/>
      </c>
      <c r="U91" s="34"/>
      <c r="V91" s="33"/>
      <c r="W91" s="33"/>
      <c r="X91" s="33"/>
      <c r="Y91" s="33"/>
      <c r="Z91" s="33"/>
      <c r="AA91" s="33"/>
    </row>
    <row r="92" customFormat="false" ht="15" hidden="false" customHeight="false" outlineLevel="0" collapsed="false">
      <c r="A92" s="33"/>
      <c r="B92" s="33"/>
      <c r="C92" s="33"/>
      <c r="D92" s="33"/>
      <c r="E92" s="33"/>
      <c r="F92" s="33"/>
      <c r="G92" s="33"/>
      <c r="H92" s="33"/>
      <c r="I92" s="33"/>
      <c r="J92" s="34"/>
      <c r="K92" s="34"/>
      <c r="L92" s="35" t="str">
        <f aca="false">IF($J92="","",$J92-IF($K92="",0,$K92))</f>
        <v/>
      </c>
      <c r="M92" s="36"/>
      <c r="N92" s="33"/>
      <c r="O92" s="33"/>
      <c r="P92" s="37"/>
      <c r="Q92" s="34"/>
      <c r="R92" s="34"/>
      <c r="S92" s="38" t="str">
        <f aca="false">IF(OR($Q92="",$R92="",$R92=0),"",$Q92/$R92)</f>
        <v/>
      </c>
      <c r="T92" s="18" t="str">
        <f aca="false">IF($S92="","",IF($S92&gt;=0.5,"PROCEDE BAJA","EVALUAR REPARACION"))</f>
        <v/>
      </c>
      <c r="U92" s="34"/>
      <c r="V92" s="33"/>
      <c r="W92" s="33"/>
      <c r="X92" s="33"/>
      <c r="Y92" s="33"/>
      <c r="Z92" s="33"/>
      <c r="AA92" s="33"/>
    </row>
    <row r="93" customFormat="false" ht="15" hidden="false" customHeight="false" outlineLevel="0" collapsed="false">
      <c r="A93" s="33"/>
      <c r="B93" s="33"/>
      <c r="C93" s="33"/>
      <c r="D93" s="33"/>
      <c r="E93" s="33"/>
      <c r="F93" s="33"/>
      <c r="G93" s="33"/>
      <c r="H93" s="33"/>
      <c r="I93" s="33"/>
      <c r="J93" s="34"/>
      <c r="K93" s="34"/>
      <c r="L93" s="35" t="str">
        <f aca="false">IF($J93="","",$J93-IF($K93="",0,$K93))</f>
        <v/>
      </c>
      <c r="M93" s="36"/>
      <c r="N93" s="33"/>
      <c r="O93" s="33"/>
      <c r="P93" s="37"/>
      <c r="Q93" s="34"/>
      <c r="R93" s="34"/>
      <c r="S93" s="38" t="str">
        <f aca="false">IF(OR($Q93="",$R93="",$R93=0),"",$Q93/$R93)</f>
        <v/>
      </c>
      <c r="T93" s="18" t="str">
        <f aca="false">IF($S93="","",IF($S93&gt;=0.5,"PROCEDE BAJA","EVALUAR REPARACION"))</f>
        <v/>
      </c>
      <c r="U93" s="34"/>
      <c r="V93" s="33"/>
      <c r="W93" s="33"/>
      <c r="X93" s="33"/>
      <c r="Y93" s="33"/>
      <c r="Z93" s="33"/>
      <c r="AA93" s="33"/>
    </row>
    <row r="94" customFormat="false" ht="15" hidden="false" customHeight="false" outlineLevel="0" collapsed="false">
      <c r="A94" s="33"/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35" t="str">
        <f aca="false">IF($J94="","",$J94-IF($K94="",0,$K94))</f>
        <v/>
      </c>
      <c r="M94" s="36"/>
      <c r="N94" s="33"/>
      <c r="O94" s="33"/>
      <c r="P94" s="37"/>
      <c r="Q94" s="34"/>
      <c r="R94" s="34"/>
      <c r="S94" s="38" t="str">
        <f aca="false">IF(OR($Q94="",$R94="",$R94=0),"",$Q94/$R94)</f>
        <v/>
      </c>
      <c r="T94" s="18" t="str">
        <f aca="false">IF($S94="","",IF($S94&gt;=0.5,"PROCEDE BAJA","EVALUAR REPARACION"))</f>
        <v/>
      </c>
      <c r="U94" s="34"/>
      <c r="V94" s="33"/>
      <c r="W94" s="33"/>
      <c r="X94" s="33"/>
      <c r="Y94" s="33"/>
      <c r="Z94" s="33"/>
      <c r="AA94" s="33"/>
    </row>
    <row r="95" customFormat="false" ht="15" hidden="false" customHeight="false" outlineLevel="0" collapsed="false">
      <c r="A95" s="33"/>
      <c r="B95" s="33"/>
      <c r="C95" s="33"/>
      <c r="D95" s="33"/>
      <c r="E95" s="33"/>
      <c r="F95" s="33"/>
      <c r="G95" s="33"/>
      <c r="H95" s="33"/>
      <c r="I95" s="33"/>
      <c r="J95" s="34"/>
      <c r="K95" s="34"/>
      <c r="L95" s="35" t="str">
        <f aca="false">IF($J95="","",$J95-IF($K95="",0,$K95))</f>
        <v/>
      </c>
      <c r="M95" s="36"/>
      <c r="N95" s="33"/>
      <c r="O95" s="33"/>
      <c r="P95" s="37"/>
      <c r="Q95" s="34"/>
      <c r="R95" s="34"/>
      <c r="S95" s="38" t="str">
        <f aca="false">IF(OR($Q95="",$R95="",$R95=0),"",$Q95/$R95)</f>
        <v/>
      </c>
      <c r="T95" s="18" t="str">
        <f aca="false">IF($S95="","",IF($S95&gt;=0.5,"PROCEDE BAJA","EVALUAR REPARACION"))</f>
        <v/>
      </c>
      <c r="U95" s="34"/>
      <c r="V95" s="33"/>
      <c r="W95" s="33"/>
      <c r="X95" s="33"/>
      <c r="Y95" s="33"/>
      <c r="Z95" s="33"/>
      <c r="AA95" s="33"/>
    </row>
    <row r="96" customFormat="false" ht="15" hidden="false" customHeight="false" outlineLevel="0" collapsed="false">
      <c r="A96" s="33"/>
      <c r="B96" s="33"/>
      <c r="C96" s="33"/>
      <c r="D96" s="33"/>
      <c r="E96" s="33"/>
      <c r="F96" s="33"/>
      <c r="G96" s="33"/>
      <c r="H96" s="33"/>
      <c r="I96" s="33"/>
      <c r="J96" s="34"/>
      <c r="K96" s="34"/>
      <c r="L96" s="35" t="str">
        <f aca="false">IF($J96="","",$J96-IF($K96="",0,$K96))</f>
        <v/>
      </c>
      <c r="M96" s="36"/>
      <c r="N96" s="33"/>
      <c r="O96" s="33"/>
      <c r="P96" s="37"/>
      <c r="Q96" s="34"/>
      <c r="R96" s="34"/>
      <c r="S96" s="38" t="str">
        <f aca="false">IF(OR($Q96="",$R96="",$R96=0),"",$Q96/$R96)</f>
        <v/>
      </c>
      <c r="T96" s="18" t="str">
        <f aca="false">IF($S96="","",IF($S96&gt;=0.5,"PROCEDE BAJA","EVALUAR REPARACION"))</f>
        <v/>
      </c>
      <c r="U96" s="34"/>
      <c r="V96" s="33"/>
      <c r="W96" s="33"/>
      <c r="X96" s="33"/>
      <c r="Y96" s="33"/>
      <c r="Z96" s="33"/>
      <c r="AA96" s="33"/>
    </row>
    <row r="97" customFormat="false" ht="15" hidden="false" customHeight="false" outlineLevel="0" collapsed="false">
      <c r="A97" s="33"/>
      <c r="B97" s="33"/>
      <c r="C97" s="33"/>
      <c r="D97" s="33"/>
      <c r="E97" s="33"/>
      <c r="F97" s="33"/>
      <c r="G97" s="33"/>
      <c r="H97" s="33"/>
      <c r="I97" s="33"/>
      <c r="J97" s="34"/>
      <c r="K97" s="34"/>
      <c r="L97" s="35" t="str">
        <f aca="false">IF($J97="","",$J97-IF($K97="",0,$K97))</f>
        <v/>
      </c>
      <c r="M97" s="36"/>
      <c r="N97" s="33"/>
      <c r="O97" s="33"/>
      <c r="P97" s="37"/>
      <c r="Q97" s="34"/>
      <c r="R97" s="34"/>
      <c r="S97" s="38" t="str">
        <f aca="false">IF(OR($Q97="",$R97="",$R97=0),"",$Q97/$R97)</f>
        <v/>
      </c>
      <c r="T97" s="18" t="str">
        <f aca="false">IF($S97="","",IF($S97&gt;=0.5,"PROCEDE BAJA","EVALUAR REPARACION"))</f>
        <v/>
      </c>
      <c r="U97" s="34"/>
      <c r="V97" s="33"/>
      <c r="W97" s="33"/>
      <c r="X97" s="33"/>
      <c r="Y97" s="33"/>
      <c r="Z97" s="33"/>
      <c r="AA97" s="33"/>
    </row>
    <row r="98" customFormat="false" ht="15" hidden="false" customHeight="false" outlineLevel="0" collapsed="false">
      <c r="A98" s="33"/>
      <c r="B98" s="33"/>
      <c r="C98" s="33"/>
      <c r="D98" s="33"/>
      <c r="E98" s="33"/>
      <c r="F98" s="33"/>
      <c r="G98" s="33"/>
      <c r="H98" s="33"/>
      <c r="I98" s="33"/>
      <c r="J98" s="34"/>
      <c r="K98" s="34"/>
      <c r="L98" s="35" t="str">
        <f aca="false">IF($J98="","",$J98-IF($K98="",0,$K98))</f>
        <v/>
      </c>
      <c r="M98" s="36"/>
      <c r="N98" s="33"/>
      <c r="O98" s="33"/>
      <c r="P98" s="37"/>
      <c r="Q98" s="34"/>
      <c r="R98" s="34"/>
      <c r="S98" s="38" t="str">
        <f aca="false">IF(OR($Q98="",$R98="",$R98=0),"",$Q98/$R98)</f>
        <v/>
      </c>
      <c r="T98" s="18" t="str">
        <f aca="false">IF($S98="","",IF($S98&gt;=0.5,"PROCEDE BAJA","EVALUAR REPARACION"))</f>
        <v/>
      </c>
      <c r="U98" s="34"/>
      <c r="V98" s="33"/>
      <c r="W98" s="33"/>
      <c r="X98" s="33"/>
      <c r="Y98" s="33"/>
      <c r="Z98" s="33"/>
      <c r="AA98" s="33"/>
    </row>
    <row r="99" customFormat="false" ht="15" hidden="false" customHeight="false" outlineLevel="0" collapsed="false">
      <c r="A99" s="33"/>
      <c r="B99" s="33"/>
      <c r="C99" s="33"/>
      <c r="D99" s="33"/>
      <c r="E99" s="33"/>
      <c r="F99" s="33"/>
      <c r="G99" s="33"/>
      <c r="H99" s="33"/>
      <c r="I99" s="33"/>
      <c r="J99" s="34"/>
      <c r="K99" s="34"/>
      <c r="L99" s="35" t="str">
        <f aca="false">IF($J99="","",$J99-IF($K99="",0,$K99))</f>
        <v/>
      </c>
      <c r="M99" s="36"/>
      <c r="N99" s="33"/>
      <c r="O99" s="33"/>
      <c r="P99" s="37"/>
      <c r="Q99" s="34"/>
      <c r="R99" s="34"/>
      <c r="S99" s="38" t="str">
        <f aca="false">IF(OR($Q99="",$R99="",$R99=0),"",$Q99/$R99)</f>
        <v/>
      </c>
      <c r="T99" s="18" t="str">
        <f aca="false">IF($S99="","",IF($S99&gt;=0.5,"PROCEDE BAJA","EVALUAR REPARACION"))</f>
        <v/>
      </c>
      <c r="U99" s="34"/>
      <c r="V99" s="33"/>
      <c r="W99" s="33"/>
      <c r="X99" s="33"/>
      <c r="Y99" s="33"/>
      <c r="Z99" s="33"/>
      <c r="AA99" s="33"/>
    </row>
    <row r="100" customFormat="false" ht="15" hidden="false" customHeight="false" outlineLevel="0" collapsed="false">
      <c r="A100" s="33"/>
      <c r="B100" s="33"/>
      <c r="C100" s="33"/>
      <c r="D100" s="33"/>
      <c r="E100" s="33"/>
      <c r="F100" s="33"/>
      <c r="G100" s="33"/>
      <c r="H100" s="33"/>
      <c r="I100" s="33"/>
      <c r="J100" s="34"/>
      <c r="K100" s="34"/>
      <c r="L100" s="35" t="str">
        <f aca="false">IF($J100="","",$J100-IF($K100="",0,$K100))</f>
        <v/>
      </c>
      <c r="M100" s="36"/>
      <c r="N100" s="33"/>
      <c r="O100" s="33"/>
      <c r="P100" s="37"/>
      <c r="Q100" s="34"/>
      <c r="R100" s="34"/>
      <c r="S100" s="38" t="str">
        <f aca="false">IF(OR($Q100="",$R100="",$R100=0),"",$Q100/$R100)</f>
        <v/>
      </c>
      <c r="T100" s="18" t="str">
        <f aca="false">IF($S100="","",IF($S100&gt;=0.5,"PROCEDE BAJA","EVALUAR REPARACION"))</f>
        <v/>
      </c>
      <c r="U100" s="34"/>
      <c r="V100" s="33"/>
      <c r="W100" s="33"/>
      <c r="X100" s="33"/>
      <c r="Y100" s="33"/>
      <c r="Z100" s="33"/>
      <c r="AA100" s="33"/>
    </row>
    <row r="101" customFormat="false" ht="15" hidden="false" customHeight="false" outlineLevel="0" collapsed="false">
      <c r="A101" s="33"/>
      <c r="B101" s="33"/>
      <c r="C101" s="33"/>
      <c r="D101" s="33"/>
      <c r="E101" s="33"/>
      <c r="F101" s="33"/>
      <c r="G101" s="33"/>
      <c r="H101" s="33"/>
      <c r="I101" s="33"/>
      <c r="J101" s="34"/>
      <c r="K101" s="34"/>
      <c r="L101" s="35" t="str">
        <f aca="false">IF($J101="","",$J101-IF($K101="",0,$K101))</f>
        <v/>
      </c>
      <c r="M101" s="36"/>
      <c r="N101" s="33"/>
      <c r="O101" s="33"/>
      <c r="P101" s="37"/>
      <c r="Q101" s="34"/>
      <c r="R101" s="34"/>
      <c r="S101" s="38" t="str">
        <f aca="false">IF(OR($Q101="",$R101="",$R101=0),"",$Q101/$R101)</f>
        <v/>
      </c>
      <c r="T101" s="18" t="str">
        <f aca="false">IF($S101="","",IF($S101&gt;=0.5,"PROCEDE BAJA","EVALUAR REPARACION"))</f>
        <v/>
      </c>
      <c r="U101" s="34"/>
      <c r="V101" s="33"/>
      <c r="W101" s="33"/>
      <c r="X101" s="33"/>
      <c r="Y101" s="33"/>
      <c r="Z101" s="33"/>
      <c r="AA101" s="33"/>
    </row>
    <row r="102" customFormat="false" ht="15" hidden="false" customHeight="false" outlineLevel="0" collapsed="false">
      <c r="A102" s="33"/>
      <c r="B102" s="33"/>
      <c r="C102" s="33"/>
      <c r="D102" s="33"/>
      <c r="E102" s="33"/>
      <c r="F102" s="33"/>
      <c r="G102" s="33"/>
      <c r="H102" s="33"/>
      <c r="I102" s="33"/>
      <c r="J102" s="34"/>
      <c r="K102" s="34"/>
      <c r="L102" s="35" t="str">
        <f aca="false">IF($J102="","",$J102-IF($K102="",0,$K102))</f>
        <v/>
      </c>
      <c r="M102" s="36"/>
      <c r="N102" s="33"/>
      <c r="O102" s="33"/>
      <c r="P102" s="37"/>
      <c r="Q102" s="34"/>
      <c r="R102" s="34"/>
      <c r="S102" s="38" t="str">
        <f aca="false">IF(OR($Q102="",$R102="",$R102=0),"",$Q102/$R102)</f>
        <v/>
      </c>
      <c r="T102" s="18" t="str">
        <f aca="false">IF($S102="","",IF($S102&gt;=0.5,"PROCEDE BAJA","EVALUAR REPARACION"))</f>
        <v/>
      </c>
      <c r="U102" s="34"/>
      <c r="V102" s="33"/>
      <c r="W102" s="33"/>
      <c r="X102" s="33"/>
      <c r="Y102" s="33"/>
      <c r="Z102" s="33"/>
      <c r="AA102" s="33"/>
    </row>
    <row r="103" customFormat="false" ht="15" hidden="false" customHeight="false" outlineLevel="0" collapsed="false">
      <c r="A103" s="33"/>
      <c r="B103" s="33"/>
      <c r="C103" s="33"/>
      <c r="D103" s="33"/>
      <c r="E103" s="33"/>
      <c r="F103" s="33"/>
      <c r="G103" s="33"/>
      <c r="H103" s="33"/>
      <c r="I103" s="33"/>
      <c r="J103" s="34"/>
      <c r="K103" s="34"/>
      <c r="L103" s="35" t="str">
        <f aca="false">IF($J103="","",$J103-IF($K103="",0,$K103))</f>
        <v/>
      </c>
      <c r="M103" s="36"/>
      <c r="N103" s="33"/>
      <c r="O103" s="33"/>
      <c r="P103" s="37"/>
      <c r="Q103" s="34"/>
      <c r="R103" s="34"/>
      <c r="S103" s="38" t="str">
        <f aca="false">IF(OR($Q103="",$R103="",$R103=0),"",$Q103/$R103)</f>
        <v/>
      </c>
      <c r="T103" s="18" t="str">
        <f aca="false">IF($S103="","",IF($S103&gt;=0.5,"PROCEDE BAJA","EVALUAR REPARACION"))</f>
        <v/>
      </c>
      <c r="U103" s="34"/>
      <c r="V103" s="33"/>
      <c r="W103" s="33"/>
      <c r="X103" s="33"/>
      <c r="Y103" s="33"/>
      <c r="Z103" s="33"/>
      <c r="AA103" s="33"/>
    </row>
    <row r="104" customFormat="false" ht="15" hidden="false" customHeight="false" outlineLevel="0" collapsed="false">
      <c r="A104" s="33"/>
      <c r="B104" s="33"/>
      <c r="C104" s="33"/>
      <c r="D104" s="33"/>
      <c r="E104" s="33"/>
      <c r="F104" s="33"/>
      <c r="G104" s="33"/>
      <c r="H104" s="33"/>
      <c r="I104" s="33"/>
      <c r="J104" s="34"/>
      <c r="K104" s="34"/>
      <c r="L104" s="35" t="str">
        <f aca="false">IF($J104="","",$J104-IF($K104="",0,$K104))</f>
        <v/>
      </c>
      <c r="M104" s="36"/>
      <c r="N104" s="33"/>
      <c r="O104" s="33"/>
      <c r="P104" s="37"/>
      <c r="Q104" s="34"/>
      <c r="R104" s="34"/>
      <c r="S104" s="38" t="str">
        <f aca="false">IF(OR($Q104="",$R104="",$R104=0),"",$Q104/$R104)</f>
        <v/>
      </c>
      <c r="T104" s="18" t="str">
        <f aca="false">IF($S104="","",IF($S104&gt;=0.5,"PROCEDE BAJA","EVALUAR REPARACION"))</f>
        <v/>
      </c>
      <c r="U104" s="34"/>
      <c r="V104" s="33"/>
      <c r="W104" s="33"/>
      <c r="X104" s="33"/>
      <c r="Y104" s="33"/>
      <c r="Z104" s="33"/>
      <c r="AA104" s="33"/>
    </row>
    <row r="105" customFormat="false" ht="15" hidden="false" customHeight="false" outlineLevel="0" collapsed="false">
      <c r="A105" s="33"/>
      <c r="B105" s="33"/>
      <c r="C105" s="33"/>
      <c r="D105" s="33"/>
      <c r="E105" s="33"/>
      <c r="F105" s="33"/>
      <c r="G105" s="33"/>
      <c r="H105" s="33"/>
      <c r="I105" s="33"/>
      <c r="J105" s="34"/>
      <c r="K105" s="34"/>
      <c r="L105" s="35" t="str">
        <f aca="false">IF($J105="","",$J105-IF($K105="",0,$K105))</f>
        <v/>
      </c>
      <c r="M105" s="36"/>
      <c r="N105" s="33"/>
      <c r="O105" s="33"/>
      <c r="P105" s="37"/>
      <c r="Q105" s="34"/>
      <c r="R105" s="34"/>
      <c r="S105" s="38" t="str">
        <f aca="false">IF(OR($Q105="",$R105="",$R105=0),"",$Q105/$R105)</f>
        <v/>
      </c>
      <c r="T105" s="18" t="str">
        <f aca="false">IF($S105="","",IF($S105&gt;=0.5,"PROCEDE BAJA","EVALUAR REPARACION"))</f>
        <v/>
      </c>
      <c r="U105" s="34"/>
      <c r="V105" s="33"/>
      <c r="W105" s="33"/>
      <c r="X105" s="33"/>
      <c r="Y105" s="33"/>
      <c r="Z105" s="33"/>
      <c r="AA105" s="33"/>
    </row>
    <row r="106" customFormat="false" ht="15" hidden="false" customHeight="false" outlineLevel="0" collapsed="false">
      <c r="A106" s="33"/>
      <c r="B106" s="33"/>
      <c r="C106" s="33"/>
      <c r="D106" s="33"/>
      <c r="E106" s="33"/>
      <c r="F106" s="33"/>
      <c r="G106" s="33"/>
      <c r="H106" s="33"/>
      <c r="I106" s="33"/>
      <c r="J106" s="34"/>
      <c r="K106" s="34"/>
      <c r="L106" s="35" t="str">
        <f aca="false">IF($J106="","",$J106-IF($K106="",0,$K106))</f>
        <v/>
      </c>
      <c r="M106" s="36"/>
      <c r="N106" s="33"/>
      <c r="O106" s="33"/>
      <c r="P106" s="37"/>
      <c r="Q106" s="34"/>
      <c r="R106" s="34"/>
      <c r="S106" s="38" t="str">
        <f aca="false">IF(OR($Q106="",$R106="",$R106=0),"",$Q106/$R106)</f>
        <v/>
      </c>
      <c r="T106" s="18" t="str">
        <f aca="false">IF($S106="","",IF($S106&gt;=0.5,"PROCEDE BAJA","EVALUAR REPARACION"))</f>
        <v/>
      </c>
      <c r="U106" s="34"/>
      <c r="V106" s="33"/>
      <c r="W106" s="33"/>
      <c r="X106" s="33"/>
      <c r="Y106" s="33"/>
      <c r="Z106" s="33"/>
      <c r="AA106" s="33"/>
    </row>
    <row r="107" customFormat="false" ht="15" hidden="false" customHeight="false" outlineLevel="0" collapsed="false">
      <c r="A107" s="33"/>
      <c r="B107" s="33"/>
      <c r="C107" s="33"/>
      <c r="D107" s="33"/>
      <c r="E107" s="33"/>
      <c r="F107" s="33"/>
      <c r="G107" s="33"/>
      <c r="H107" s="33"/>
      <c r="I107" s="33"/>
      <c r="J107" s="34"/>
      <c r="K107" s="34"/>
      <c r="L107" s="35" t="str">
        <f aca="false">IF($J107="","",$J107-IF($K107="",0,$K107))</f>
        <v/>
      </c>
      <c r="M107" s="36"/>
      <c r="N107" s="33"/>
      <c r="O107" s="33"/>
      <c r="P107" s="37"/>
      <c r="Q107" s="34"/>
      <c r="R107" s="34"/>
      <c r="S107" s="38" t="str">
        <f aca="false">IF(OR($Q107="",$R107="",$R107=0),"",$Q107/$R107)</f>
        <v/>
      </c>
      <c r="T107" s="18" t="str">
        <f aca="false">IF($S107="","",IF($S107&gt;=0.5,"PROCEDE BAJA","EVALUAR REPARACION"))</f>
        <v/>
      </c>
      <c r="U107" s="34"/>
      <c r="V107" s="33"/>
      <c r="W107" s="33"/>
      <c r="X107" s="33"/>
      <c r="Y107" s="33"/>
      <c r="Z107" s="33"/>
      <c r="AA107" s="33"/>
    </row>
    <row r="108" customFormat="false" ht="15" hidden="false" customHeight="false" outlineLevel="0" collapsed="false">
      <c r="A108" s="33"/>
      <c r="B108" s="33"/>
      <c r="C108" s="33"/>
      <c r="D108" s="33"/>
      <c r="E108" s="33"/>
      <c r="F108" s="33"/>
      <c r="G108" s="33"/>
      <c r="H108" s="33"/>
      <c r="I108" s="33"/>
      <c r="J108" s="34"/>
      <c r="K108" s="34"/>
      <c r="L108" s="35" t="str">
        <f aca="false">IF($J108="","",$J108-IF($K108="",0,$K108))</f>
        <v/>
      </c>
      <c r="M108" s="36"/>
      <c r="N108" s="33"/>
      <c r="O108" s="33"/>
      <c r="P108" s="37"/>
      <c r="Q108" s="34"/>
      <c r="R108" s="34"/>
      <c r="S108" s="38" t="str">
        <f aca="false">IF(OR($Q108="",$R108="",$R108=0),"",$Q108/$R108)</f>
        <v/>
      </c>
      <c r="T108" s="18" t="str">
        <f aca="false">IF($S108="","",IF($S108&gt;=0.5,"PROCEDE BAJA","EVALUAR REPARACION"))</f>
        <v/>
      </c>
      <c r="U108" s="34"/>
      <c r="V108" s="33"/>
      <c r="W108" s="33"/>
      <c r="X108" s="33"/>
      <c r="Y108" s="33"/>
      <c r="Z108" s="33"/>
      <c r="AA108" s="33"/>
    </row>
    <row r="109" customFormat="false" ht="15" hidden="false" customHeight="false" outlineLevel="0" collapsed="false">
      <c r="A109" s="33"/>
      <c r="B109" s="33"/>
      <c r="C109" s="33"/>
      <c r="D109" s="33"/>
      <c r="E109" s="33"/>
      <c r="F109" s="33"/>
      <c r="G109" s="33"/>
      <c r="H109" s="33"/>
      <c r="I109" s="33"/>
      <c r="J109" s="34"/>
      <c r="K109" s="34"/>
      <c r="L109" s="35" t="str">
        <f aca="false">IF($J109="","",$J109-IF($K109="",0,$K109))</f>
        <v/>
      </c>
      <c r="M109" s="36"/>
      <c r="N109" s="33"/>
      <c r="O109" s="33"/>
      <c r="P109" s="37"/>
      <c r="Q109" s="34"/>
      <c r="R109" s="34"/>
      <c r="S109" s="38" t="str">
        <f aca="false">IF(OR($Q109="",$R109="",$R109=0),"",$Q109/$R109)</f>
        <v/>
      </c>
      <c r="T109" s="18" t="str">
        <f aca="false">IF($S109="","",IF($S109&gt;=0.5,"PROCEDE BAJA","EVALUAR REPARACION"))</f>
        <v/>
      </c>
      <c r="U109" s="34"/>
      <c r="V109" s="33"/>
      <c r="W109" s="33"/>
      <c r="X109" s="33"/>
      <c r="Y109" s="33"/>
      <c r="Z109" s="33"/>
      <c r="AA109" s="33"/>
    </row>
    <row r="110" customFormat="false" ht="15" hidden="false" customHeight="false" outlineLevel="0" collapsed="false">
      <c r="A110" s="33"/>
      <c r="B110" s="33"/>
      <c r="C110" s="33"/>
      <c r="D110" s="33"/>
      <c r="E110" s="33"/>
      <c r="F110" s="33"/>
      <c r="G110" s="33"/>
      <c r="H110" s="33"/>
      <c r="I110" s="33"/>
      <c r="J110" s="34"/>
      <c r="K110" s="34"/>
      <c r="L110" s="35" t="str">
        <f aca="false">IF($J110="","",$J110-IF($K110="",0,$K110))</f>
        <v/>
      </c>
      <c r="M110" s="36"/>
      <c r="N110" s="33"/>
      <c r="O110" s="33"/>
      <c r="P110" s="37"/>
      <c r="Q110" s="34"/>
      <c r="R110" s="34"/>
      <c r="S110" s="38" t="str">
        <f aca="false">IF(OR($Q110="",$R110="",$R110=0),"",$Q110/$R110)</f>
        <v/>
      </c>
      <c r="T110" s="18" t="str">
        <f aca="false">IF($S110="","",IF($S110&gt;=0.5,"PROCEDE BAJA","EVALUAR REPARACION"))</f>
        <v/>
      </c>
      <c r="U110" s="34"/>
      <c r="V110" s="33"/>
      <c r="W110" s="33"/>
      <c r="X110" s="33"/>
      <c r="Y110" s="33"/>
      <c r="Z110" s="33"/>
      <c r="AA110" s="33"/>
    </row>
    <row r="111" customFormat="false" ht="15" hidden="false" customHeight="false" outlineLevel="0" collapsed="false">
      <c r="A111" s="33"/>
      <c r="B111" s="33"/>
      <c r="C111" s="33"/>
      <c r="D111" s="33"/>
      <c r="E111" s="33"/>
      <c r="F111" s="33"/>
      <c r="G111" s="33"/>
      <c r="H111" s="33"/>
      <c r="I111" s="33"/>
      <c r="J111" s="34"/>
      <c r="K111" s="34"/>
      <c r="L111" s="35" t="str">
        <f aca="false">IF($J111="","",$J111-IF($K111="",0,$K111))</f>
        <v/>
      </c>
      <c r="M111" s="36"/>
      <c r="N111" s="33"/>
      <c r="O111" s="33"/>
      <c r="P111" s="37"/>
      <c r="Q111" s="34"/>
      <c r="R111" s="34"/>
      <c r="S111" s="38" t="str">
        <f aca="false">IF(OR($Q111="",$R111="",$R111=0),"",$Q111/$R111)</f>
        <v/>
      </c>
      <c r="T111" s="18" t="str">
        <f aca="false">IF($S111="","",IF($S111&gt;=0.5,"PROCEDE BAJA","EVALUAR REPARACION"))</f>
        <v/>
      </c>
      <c r="U111" s="34"/>
      <c r="V111" s="33"/>
      <c r="W111" s="33"/>
      <c r="X111" s="33"/>
      <c r="Y111" s="33"/>
      <c r="Z111" s="33"/>
      <c r="AA111" s="33"/>
    </row>
    <row r="112" customFormat="false" ht="15" hidden="false" customHeight="false" outlineLevel="0" collapsed="false">
      <c r="A112" s="33"/>
      <c r="B112" s="33"/>
      <c r="C112" s="33"/>
      <c r="D112" s="33"/>
      <c r="E112" s="33"/>
      <c r="F112" s="33"/>
      <c r="G112" s="33"/>
      <c r="H112" s="33"/>
      <c r="I112" s="33"/>
      <c r="J112" s="34"/>
      <c r="K112" s="34"/>
      <c r="L112" s="35" t="str">
        <f aca="false">IF($J112="","",$J112-IF($K112="",0,$K112))</f>
        <v/>
      </c>
      <c r="M112" s="36"/>
      <c r="N112" s="33"/>
      <c r="O112" s="33"/>
      <c r="P112" s="37"/>
      <c r="Q112" s="34"/>
      <c r="R112" s="34"/>
      <c r="S112" s="38" t="str">
        <f aca="false">IF(OR($Q112="",$R112="",$R112=0),"",$Q112/$R112)</f>
        <v/>
      </c>
      <c r="T112" s="18" t="str">
        <f aca="false">IF($S112="","",IF($S112&gt;=0.5,"PROCEDE BAJA","EVALUAR REPARACION"))</f>
        <v/>
      </c>
      <c r="U112" s="34"/>
      <c r="V112" s="33"/>
      <c r="W112" s="33"/>
      <c r="X112" s="33"/>
      <c r="Y112" s="33"/>
      <c r="Z112" s="33"/>
      <c r="AA112" s="33"/>
    </row>
    <row r="113" customFormat="false" ht="15" hidden="false" customHeight="false" outlineLevel="0" collapsed="false">
      <c r="A113" s="33"/>
      <c r="B113" s="33"/>
      <c r="C113" s="33"/>
      <c r="D113" s="33"/>
      <c r="E113" s="33"/>
      <c r="F113" s="33"/>
      <c r="G113" s="33"/>
      <c r="H113" s="33"/>
      <c r="I113" s="33"/>
      <c r="J113" s="34"/>
      <c r="K113" s="34"/>
      <c r="L113" s="35" t="str">
        <f aca="false">IF($J113="","",$J113-IF($K113="",0,$K113))</f>
        <v/>
      </c>
      <c r="M113" s="36"/>
      <c r="N113" s="33"/>
      <c r="O113" s="33"/>
      <c r="P113" s="37"/>
      <c r="Q113" s="34"/>
      <c r="R113" s="34"/>
      <c r="S113" s="38" t="str">
        <f aca="false">IF(OR($Q113="",$R113="",$R113=0),"",$Q113/$R113)</f>
        <v/>
      </c>
      <c r="T113" s="18" t="str">
        <f aca="false">IF($S113="","",IF($S113&gt;=0.5,"PROCEDE BAJA","EVALUAR REPARACION"))</f>
        <v/>
      </c>
      <c r="U113" s="34"/>
      <c r="V113" s="33"/>
      <c r="W113" s="33"/>
      <c r="X113" s="33"/>
      <c r="Y113" s="33"/>
      <c r="Z113" s="33"/>
      <c r="AA113" s="33"/>
    </row>
    <row r="114" customFormat="false" ht="15" hidden="false" customHeight="false" outlineLevel="0" collapsed="false">
      <c r="A114" s="33"/>
      <c r="B114" s="33"/>
      <c r="C114" s="33"/>
      <c r="D114" s="33"/>
      <c r="E114" s="33"/>
      <c r="F114" s="33"/>
      <c r="G114" s="33"/>
      <c r="H114" s="33"/>
      <c r="I114" s="33"/>
      <c r="J114" s="34"/>
      <c r="K114" s="34"/>
      <c r="L114" s="35" t="str">
        <f aca="false">IF($J114="","",$J114-IF($K114="",0,$K114))</f>
        <v/>
      </c>
      <c r="M114" s="36"/>
      <c r="N114" s="33"/>
      <c r="O114" s="33"/>
      <c r="P114" s="37"/>
      <c r="Q114" s="34"/>
      <c r="R114" s="34"/>
      <c r="S114" s="38" t="str">
        <f aca="false">IF(OR($Q114="",$R114="",$R114=0),"",$Q114/$R114)</f>
        <v/>
      </c>
      <c r="T114" s="18" t="str">
        <f aca="false">IF($S114="","",IF($S114&gt;=0.5,"PROCEDE BAJA","EVALUAR REPARACION"))</f>
        <v/>
      </c>
      <c r="U114" s="34"/>
      <c r="V114" s="33"/>
      <c r="W114" s="33"/>
      <c r="X114" s="33"/>
      <c r="Y114" s="33"/>
      <c r="Z114" s="33"/>
      <c r="AA114" s="33"/>
    </row>
    <row r="115" customFormat="false" ht="15" hidden="false" customHeight="false" outlineLevel="0" collapsed="false">
      <c r="A115" s="33"/>
      <c r="B115" s="33"/>
      <c r="C115" s="33"/>
      <c r="D115" s="33"/>
      <c r="E115" s="33"/>
      <c r="F115" s="33"/>
      <c r="G115" s="33"/>
      <c r="H115" s="33"/>
      <c r="I115" s="33"/>
      <c r="J115" s="34"/>
      <c r="K115" s="34"/>
      <c r="L115" s="35" t="str">
        <f aca="false">IF($J115="","",$J115-IF($K115="",0,$K115))</f>
        <v/>
      </c>
      <c r="M115" s="36"/>
      <c r="N115" s="33"/>
      <c r="O115" s="33"/>
      <c r="P115" s="37"/>
      <c r="Q115" s="34"/>
      <c r="R115" s="34"/>
      <c r="S115" s="38" t="str">
        <f aca="false">IF(OR($Q115="",$R115="",$R115=0),"",$Q115/$R115)</f>
        <v/>
      </c>
      <c r="T115" s="18" t="str">
        <f aca="false">IF($S115="","",IF($S115&gt;=0.5,"PROCEDE BAJA","EVALUAR REPARACION"))</f>
        <v/>
      </c>
      <c r="U115" s="34"/>
      <c r="V115" s="33"/>
      <c r="W115" s="33"/>
      <c r="X115" s="33"/>
      <c r="Y115" s="33"/>
      <c r="Z115" s="33"/>
      <c r="AA115" s="33"/>
    </row>
    <row r="116" customFormat="false" ht="15" hidden="false" customHeight="false" outlineLevel="0" collapsed="false">
      <c r="A116" s="33"/>
      <c r="B116" s="33"/>
      <c r="C116" s="33"/>
      <c r="D116" s="33"/>
      <c r="E116" s="33"/>
      <c r="F116" s="33"/>
      <c r="G116" s="33"/>
      <c r="H116" s="33"/>
      <c r="I116" s="33"/>
      <c r="J116" s="34"/>
      <c r="K116" s="34"/>
      <c r="L116" s="35" t="str">
        <f aca="false">IF($J116="","",$J116-IF($K116="",0,$K116))</f>
        <v/>
      </c>
      <c r="M116" s="36"/>
      <c r="N116" s="33"/>
      <c r="O116" s="33"/>
      <c r="P116" s="37"/>
      <c r="Q116" s="34"/>
      <c r="R116" s="34"/>
      <c r="S116" s="38" t="str">
        <f aca="false">IF(OR($Q116="",$R116="",$R116=0),"",$Q116/$R116)</f>
        <v/>
      </c>
      <c r="T116" s="18" t="str">
        <f aca="false">IF($S116="","",IF($S116&gt;=0.5,"PROCEDE BAJA","EVALUAR REPARACION"))</f>
        <v/>
      </c>
      <c r="U116" s="34"/>
      <c r="V116" s="33"/>
      <c r="W116" s="33"/>
      <c r="X116" s="33"/>
      <c r="Y116" s="33"/>
      <c r="Z116" s="33"/>
      <c r="AA116" s="33"/>
    </row>
    <row r="117" customFormat="false" ht="15" hidden="false" customHeight="false" outlineLevel="0" collapsed="false">
      <c r="A117" s="33"/>
      <c r="B117" s="33"/>
      <c r="C117" s="33"/>
      <c r="D117" s="33"/>
      <c r="E117" s="33"/>
      <c r="F117" s="33"/>
      <c r="G117" s="33"/>
      <c r="H117" s="33"/>
      <c r="I117" s="33"/>
      <c r="J117" s="34"/>
      <c r="K117" s="34"/>
      <c r="L117" s="35" t="str">
        <f aca="false">IF($J117="","",$J117-IF($K117="",0,$K117))</f>
        <v/>
      </c>
      <c r="M117" s="36"/>
      <c r="N117" s="33"/>
      <c r="O117" s="33"/>
      <c r="P117" s="37"/>
      <c r="Q117" s="34"/>
      <c r="R117" s="34"/>
      <c r="S117" s="38" t="str">
        <f aca="false">IF(OR($Q117="",$R117="",$R117=0),"",$Q117/$R117)</f>
        <v/>
      </c>
      <c r="T117" s="18" t="str">
        <f aca="false">IF($S117="","",IF($S117&gt;=0.5,"PROCEDE BAJA","EVALUAR REPARACION"))</f>
        <v/>
      </c>
      <c r="U117" s="34"/>
      <c r="V117" s="33"/>
      <c r="W117" s="33"/>
      <c r="X117" s="33"/>
      <c r="Y117" s="33"/>
      <c r="Z117" s="33"/>
      <c r="AA117" s="33"/>
    </row>
    <row r="118" customFormat="false" ht="15" hidden="false" customHeight="false" outlineLevel="0" collapsed="false">
      <c r="A118" s="33"/>
      <c r="B118" s="33"/>
      <c r="C118" s="33"/>
      <c r="D118" s="33"/>
      <c r="E118" s="33"/>
      <c r="F118" s="33"/>
      <c r="G118" s="33"/>
      <c r="H118" s="33"/>
      <c r="I118" s="33"/>
      <c r="J118" s="34"/>
      <c r="K118" s="34"/>
      <c r="L118" s="35" t="str">
        <f aca="false">IF($J118="","",$J118-IF($K118="",0,$K118))</f>
        <v/>
      </c>
      <c r="M118" s="36"/>
      <c r="N118" s="33"/>
      <c r="O118" s="33"/>
      <c r="P118" s="37"/>
      <c r="Q118" s="34"/>
      <c r="R118" s="34"/>
      <c r="S118" s="38" t="str">
        <f aca="false">IF(OR($Q118="",$R118="",$R118=0),"",$Q118/$R118)</f>
        <v/>
      </c>
      <c r="T118" s="18" t="str">
        <f aca="false">IF($S118="","",IF($S118&gt;=0.5,"PROCEDE BAJA","EVALUAR REPARACION"))</f>
        <v/>
      </c>
      <c r="U118" s="34"/>
      <c r="V118" s="33"/>
      <c r="W118" s="33"/>
      <c r="X118" s="33"/>
      <c r="Y118" s="33"/>
      <c r="Z118" s="33"/>
      <c r="AA118" s="33"/>
    </row>
    <row r="119" customFormat="false" ht="15" hidden="false" customHeight="false" outlineLevel="0" collapsed="false">
      <c r="A119" s="33"/>
      <c r="B119" s="33"/>
      <c r="C119" s="33"/>
      <c r="D119" s="33"/>
      <c r="E119" s="33"/>
      <c r="F119" s="33"/>
      <c r="G119" s="33"/>
      <c r="H119" s="33"/>
      <c r="I119" s="33"/>
      <c r="J119" s="34"/>
      <c r="K119" s="34"/>
      <c r="L119" s="35" t="str">
        <f aca="false">IF($J119="","",$J119-IF($K119="",0,$K119))</f>
        <v/>
      </c>
      <c r="M119" s="36"/>
      <c r="N119" s="33"/>
      <c r="O119" s="33"/>
      <c r="P119" s="37"/>
      <c r="Q119" s="34"/>
      <c r="R119" s="34"/>
      <c r="S119" s="38" t="str">
        <f aca="false">IF(OR($Q119="",$R119="",$R119=0),"",$Q119/$R119)</f>
        <v/>
      </c>
      <c r="T119" s="18" t="str">
        <f aca="false">IF($S119="","",IF($S119&gt;=0.5,"PROCEDE BAJA","EVALUAR REPARACION"))</f>
        <v/>
      </c>
      <c r="U119" s="34"/>
      <c r="V119" s="33"/>
      <c r="W119" s="33"/>
      <c r="X119" s="33"/>
      <c r="Y119" s="33"/>
      <c r="Z119" s="33"/>
      <c r="AA119" s="33"/>
    </row>
    <row r="120" customFormat="false" ht="15" hidden="false" customHeight="false" outlineLevel="0" collapsed="false">
      <c r="A120" s="33"/>
      <c r="B120" s="33"/>
      <c r="C120" s="33"/>
      <c r="D120" s="33"/>
      <c r="E120" s="33"/>
      <c r="F120" s="33"/>
      <c r="G120" s="33"/>
      <c r="H120" s="33"/>
      <c r="I120" s="33"/>
      <c r="J120" s="34"/>
      <c r="K120" s="34"/>
      <c r="L120" s="35" t="str">
        <f aca="false">IF($J120="","",$J120-IF($K120="",0,$K120))</f>
        <v/>
      </c>
      <c r="M120" s="36"/>
      <c r="N120" s="33"/>
      <c r="O120" s="33"/>
      <c r="P120" s="37"/>
      <c r="Q120" s="34"/>
      <c r="R120" s="34"/>
      <c r="S120" s="38" t="str">
        <f aca="false">IF(OR($Q120="",$R120="",$R120=0),"",$Q120/$R120)</f>
        <v/>
      </c>
      <c r="T120" s="18" t="str">
        <f aca="false">IF($S120="","",IF($S120&gt;=0.5,"PROCEDE BAJA","EVALUAR REPARACION"))</f>
        <v/>
      </c>
      <c r="U120" s="34"/>
      <c r="V120" s="33"/>
      <c r="W120" s="33"/>
      <c r="X120" s="33"/>
      <c r="Y120" s="33"/>
      <c r="Z120" s="33"/>
      <c r="AA120" s="33"/>
    </row>
    <row r="121" customFormat="false" ht="15" hidden="false" customHeight="false" outlineLevel="0" collapsed="false">
      <c r="A121" s="33"/>
      <c r="B121" s="33"/>
      <c r="C121" s="33"/>
      <c r="D121" s="33"/>
      <c r="E121" s="33"/>
      <c r="F121" s="33"/>
      <c r="G121" s="33"/>
      <c r="H121" s="33"/>
      <c r="I121" s="33"/>
      <c r="J121" s="34"/>
      <c r="K121" s="34"/>
      <c r="L121" s="35" t="str">
        <f aca="false">IF($J121="","",$J121-IF($K121="",0,$K121))</f>
        <v/>
      </c>
      <c r="M121" s="36"/>
      <c r="N121" s="33"/>
      <c r="O121" s="33"/>
      <c r="P121" s="37"/>
      <c r="Q121" s="34"/>
      <c r="R121" s="34"/>
      <c r="S121" s="38" t="str">
        <f aca="false">IF(OR($Q121="",$R121="",$R121=0),"",$Q121/$R121)</f>
        <v/>
      </c>
      <c r="T121" s="18" t="str">
        <f aca="false">IF($S121="","",IF($S121&gt;=0.5,"PROCEDE BAJA","EVALUAR REPARACION"))</f>
        <v/>
      </c>
      <c r="U121" s="34"/>
      <c r="V121" s="33"/>
      <c r="W121" s="33"/>
      <c r="X121" s="33"/>
      <c r="Y121" s="33"/>
      <c r="Z121" s="33"/>
      <c r="AA121" s="33"/>
    </row>
    <row r="122" customFormat="false" ht="15" hidden="false" customHeight="false" outlineLevel="0" collapsed="false">
      <c r="A122" s="33"/>
      <c r="B122" s="33"/>
      <c r="C122" s="33"/>
      <c r="D122" s="33"/>
      <c r="E122" s="33"/>
      <c r="F122" s="33"/>
      <c r="G122" s="33"/>
      <c r="H122" s="33"/>
      <c r="I122" s="33"/>
      <c r="J122" s="34"/>
      <c r="K122" s="34"/>
      <c r="L122" s="35" t="str">
        <f aca="false">IF($J122="","",$J122-IF($K122="",0,$K122))</f>
        <v/>
      </c>
      <c r="M122" s="36"/>
      <c r="N122" s="33"/>
      <c r="O122" s="33"/>
      <c r="P122" s="37"/>
      <c r="Q122" s="34"/>
      <c r="R122" s="34"/>
      <c r="S122" s="38" t="str">
        <f aca="false">IF(OR($Q122="",$R122="",$R122=0),"",$Q122/$R122)</f>
        <v/>
      </c>
      <c r="T122" s="18" t="str">
        <f aca="false">IF($S122="","",IF($S122&gt;=0.5,"PROCEDE BAJA","EVALUAR REPARACION"))</f>
        <v/>
      </c>
      <c r="U122" s="34"/>
      <c r="V122" s="33"/>
      <c r="W122" s="33"/>
      <c r="X122" s="33"/>
      <c r="Y122" s="33"/>
      <c r="Z122" s="33"/>
      <c r="AA122" s="33"/>
    </row>
    <row r="123" customFormat="false" ht="15" hidden="false" customHeight="false" outlineLevel="0" collapsed="false">
      <c r="A123" s="33"/>
      <c r="B123" s="33"/>
      <c r="C123" s="33"/>
      <c r="D123" s="33"/>
      <c r="E123" s="33"/>
      <c r="F123" s="33"/>
      <c r="G123" s="33"/>
      <c r="H123" s="33"/>
      <c r="I123" s="33"/>
      <c r="J123" s="34"/>
      <c r="K123" s="34"/>
      <c r="L123" s="35" t="str">
        <f aca="false">IF($J123="","",$J123-IF($K123="",0,$K123))</f>
        <v/>
      </c>
      <c r="M123" s="36"/>
      <c r="N123" s="33"/>
      <c r="O123" s="33"/>
      <c r="P123" s="37"/>
      <c r="Q123" s="34"/>
      <c r="R123" s="34"/>
      <c r="S123" s="38" t="str">
        <f aca="false">IF(OR($Q123="",$R123="",$R123=0),"",$Q123/$R123)</f>
        <v/>
      </c>
      <c r="T123" s="18" t="str">
        <f aca="false">IF($S123="","",IF($S123&gt;=0.5,"PROCEDE BAJA","EVALUAR REPARACION"))</f>
        <v/>
      </c>
      <c r="U123" s="34"/>
      <c r="V123" s="33"/>
      <c r="W123" s="33"/>
      <c r="X123" s="33"/>
      <c r="Y123" s="33"/>
      <c r="Z123" s="33"/>
      <c r="AA123" s="33"/>
    </row>
    <row r="124" customFormat="false" ht="15" hidden="false" customHeight="false" outlineLevel="0" collapsed="false">
      <c r="A124" s="33"/>
      <c r="B124" s="33"/>
      <c r="C124" s="33"/>
      <c r="D124" s="33"/>
      <c r="E124" s="33"/>
      <c r="F124" s="33"/>
      <c r="G124" s="33"/>
      <c r="H124" s="33"/>
      <c r="I124" s="33"/>
      <c r="J124" s="34"/>
      <c r="K124" s="34"/>
      <c r="L124" s="35" t="str">
        <f aca="false">IF($J124="","",$J124-IF($K124="",0,$K124))</f>
        <v/>
      </c>
      <c r="M124" s="36"/>
      <c r="N124" s="33"/>
      <c r="O124" s="33"/>
      <c r="P124" s="37"/>
      <c r="Q124" s="34"/>
      <c r="R124" s="34"/>
      <c r="S124" s="38" t="str">
        <f aca="false">IF(OR($Q124="",$R124="",$R124=0),"",$Q124/$R124)</f>
        <v/>
      </c>
      <c r="T124" s="18" t="str">
        <f aca="false">IF($S124="","",IF($S124&gt;=0.5,"PROCEDE BAJA","EVALUAR REPARACION"))</f>
        <v/>
      </c>
      <c r="U124" s="34"/>
      <c r="V124" s="33"/>
      <c r="W124" s="33"/>
      <c r="X124" s="33"/>
      <c r="Y124" s="33"/>
      <c r="Z124" s="33"/>
      <c r="AA124" s="33"/>
    </row>
    <row r="125" customFormat="false" ht="15" hidden="false" customHeight="false" outlineLevel="0" collapsed="false">
      <c r="A125" s="33"/>
      <c r="B125" s="33"/>
      <c r="C125" s="33"/>
      <c r="D125" s="33"/>
      <c r="E125" s="33"/>
      <c r="F125" s="33"/>
      <c r="G125" s="33"/>
      <c r="H125" s="33"/>
      <c r="I125" s="33"/>
      <c r="J125" s="34"/>
      <c r="K125" s="34"/>
      <c r="L125" s="35" t="str">
        <f aca="false">IF($J125="","",$J125-IF($K125="",0,$K125))</f>
        <v/>
      </c>
      <c r="M125" s="36"/>
      <c r="N125" s="33"/>
      <c r="O125" s="33"/>
      <c r="P125" s="37"/>
      <c r="Q125" s="34"/>
      <c r="R125" s="34"/>
      <c r="S125" s="38" t="str">
        <f aca="false">IF(OR($Q125="",$R125="",$R125=0),"",$Q125/$R125)</f>
        <v/>
      </c>
      <c r="T125" s="18" t="str">
        <f aca="false">IF($S125="","",IF($S125&gt;=0.5,"PROCEDE BAJA","EVALUAR REPARACION"))</f>
        <v/>
      </c>
      <c r="U125" s="34"/>
      <c r="V125" s="33"/>
      <c r="W125" s="33"/>
      <c r="X125" s="33"/>
      <c r="Y125" s="33"/>
      <c r="Z125" s="33"/>
      <c r="AA125" s="33"/>
    </row>
    <row r="126" customFormat="false" ht="15" hidden="false" customHeight="false" outlineLevel="0" collapsed="false">
      <c r="A126" s="33"/>
      <c r="B126" s="33"/>
      <c r="C126" s="33"/>
      <c r="D126" s="33"/>
      <c r="E126" s="33"/>
      <c r="F126" s="33"/>
      <c r="G126" s="33"/>
      <c r="H126" s="33"/>
      <c r="I126" s="33"/>
      <c r="J126" s="34"/>
      <c r="K126" s="34"/>
      <c r="L126" s="35" t="str">
        <f aca="false">IF($J126="","",$J126-IF($K126="",0,$K126))</f>
        <v/>
      </c>
      <c r="M126" s="36"/>
      <c r="N126" s="33"/>
      <c r="O126" s="33"/>
      <c r="P126" s="37"/>
      <c r="Q126" s="34"/>
      <c r="R126" s="34"/>
      <c r="S126" s="38" t="str">
        <f aca="false">IF(OR($Q126="",$R126="",$R126=0),"",$Q126/$R126)</f>
        <v/>
      </c>
      <c r="T126" s="18" t="str">
        <f aca="false">IF($S126="","",IF($S126&gt;=0.5,"PROCEDE BAJA","EVALUAR REPARACION"))</f>
        <v/>
      </c>
      <c r="U126" s="34"/>
      <c r="V126" s="33"/>
      <c r="W126" s="33"/>
      <c r="X126" s="33"/>
      <c r="Y126" s="33"/>
      <c r="Z126" s="33"/>
      <c r="AA126" s="33"/>
    </row>
    <row r="127" customFormat="false" ht="15" hidden="false" customHeight="false" outlineLevel="0" collapsed="false">
      <c r="A127" s="33"/>
      <c r="B127" s="33"/>
      <c r="C127" s="33"/>
      <c r="D127" s="33"/>
      <c r="E127" s="33"/>
      <c r="F127" s="33"/>
      <c r="G127" s="33"/>
      <c r="H127" s="33"/>
      <c r="I127" s="33"/>
      <c r="J127" s="34"/>
      <c r="K127" s="34"/>
      <c r="L127" s="35" t="str">
        <f aca="false">IF($J127="","",$J127-IF($K127="",0,$K127))</f>
        <v/>
      </c>
      <c r="M127" s="36"/>
      <c r="N127" s="33"/>
      <c r="O127" s="33"/>
      <c r="P127" s="37"/>
      <c r="Q127" s="34"/>
      <c r="R127" s="34"/>
      <c r="S127" s="38" t="str">
        <f aca="false">IF(OR($Q127="",$R127="",$R127=0),"",$Q127/$R127)</f>
        <v/>
      </c>
      <c r="T127" s="18" t="str">
        <f aca="false">IF($S127="","",IF($S127&gt;=0.5,"PROCEDE BAJA","EVALUAR REPARACION"))</f>
        <v/>
      </c>
      <c r="U127" s="34"/>
      <c r="V127" s="33"/>
      <c r="W127" s="33"/>
      <c r="X127" s="33"/>
      <c r="Y127" s="33"/>
      <c r="Z127" s="33"/>
      <c r="AA127" s="33"/>
    </row>
    <row r="128" customFormat="false" ht="15" hidden="false" customHeight="false" outlineLevel="0" collapsed="false">
      <c r="A128" s="33"/>
      <c r="B128" s="33"/>
      <c r="C128" s="33"/>
      <c r="D128" s="33"/>
      <c r="E128" s="33"/>
      <c r="F128" s="33"/>
      <c r="G128" s="33"/>
      <c r="H128" s="33"/>
      <c r="I128" s="33"/>
      <c r="J128" s="34"/>
      <c r="K128" s="34"/>
      <c r="L128" s="35" t="str">
        <f aca="false">IF($J128="","",$J128-IF($K128="",0,$K128))</f>
        <v/>
      </c>
      <c r="M128" s="36"/>
      <c r="N128" s="33"/>
      <c r="O128" s="33"/>
      <c r="P128" s="37"/>
      <c r="Q128" s="34"/>
      <c r="R128" s="34"/>
      <c r="S128" s="38" t="str">
        <f aca="false">IF(OR($Q128="",$R128="",$R128=0),"",$Q128/$R128)</f>
        <v/>
      </c>
      <c r="T128" s="18" t="str">
        <f aca="false">IF($S128="","",IF($S128&gt;=0.5,"PROCEDE BAJA","EVALUAR REPARACION"))</f>
        <v/>
      </c>
      <c r="U128" s="34"/>
      <c r="V128" s="33"/>
      <c r="W128" s="33"/>
      <c r="X128" s="33"/>
      <c r="Y128" s="33"/>
      <c r="Z128" s="33"/>
      <c r="AA128" s="33"/>
    </row>
    <row r="129" customFormat="false" ht="15" hidden="false" customHeight="false" outlineLevel="0" collapsed="false">
      <c r="A129" s="33"/>
      <c r="B129" s="33"/>
      <c r="C129" s="33"/>
      <c r="D129" s="33"/>
      <c r="E129" s="33"/>
      <c r="F129" s="33"/>
      <c r="G129" s="33"/>
      <c r="H129" s="33"/>
      <c r="I129" s="33"/>
      <c r="J129" s="34"/>
      <c r="K129" s="34"/>
      <c r="L129" s="35" t="str">
        <f aca="false">IF($J129="","",$J129-IF($K129="",0,$K129))</f>
        <v/>
      </c>
      <c r="M129" s="36"/>
      <c r="N129" s="33"/>
      <c r="O129" s="33"/>
      <c r="P129" s="37"/>
      <c r="Q129" s="34"/>
      <c r="R129" s="34"/>
      <c r="S129" s="38" t="str">
        <f aca="false">IF(OR($Q129="",$R129="",$R129=0),"",$Q129/$R129)</f>
        <v/>
      </c>
      <c r="T129" s="18" t="str">
        <f aca="false">IF($S129="","",IF($S129&gt;=0.5,"PROCEDE BAJA","EVALUAR REPARACION"))</f>
        <v/>
      </c>
      <c r="U129" s="34"/>
      <c r="V129" s="33"/>
      <c r="W129" s="33"/>
      <c r="X129" s="33"/>
      <c r="Y129" s="33"/>
      <c r="Z129" s="33"/>
      <c r="AA129" s="33"/>
    </row>
    <row r="130" customFormat="false" ht="15" hidden="false" customHeight="false" outlineLevel="0" collapsed="false">
      <c r="A130" s="33"/>
      <c r="B130" s="33"/>
      <c r="C130" s="33"/>
      <c r="D130" s="33"/>
      <c r="E130" s="33"/>
      <c r="F130" s="33"/>
      <c r="G130" s="33"/>
      <c r="H130" s="33"/>
      <c r="I130" s="33"/>
      <c r="J130" s="34"/>
      <c r="K130" s="34"/>
      <c r="L130" s="35" t="str">
        <f aca="false">IF($J130="","",$J130-IF($K130="",0,$K130))</f>
        <v/>
      </c>
      <c r="M130" s="36"/>
      <c r="N130" s="33"/>
      <c r="O130" s="33"/>
      <c r="P130" s="37"/>
      <c r="Q130" s="34"/>
      <c r="R130" s="34"/>
      <c r="S130" s="38" t="str">
        <f aca="false">IF(OR($Q130="",$R130="",$R130=0),"",$Q130/$R130)</f>
        <v/>
      </c>
      <c r="T130" s="18" t="str">
        <f aca="false">IF($S130="","",IF($S130&gt;=0.5,"PROCEDE BAJA","EVALUAR REPARACION"))</f>
        <v/>
      </c>
      <c r="U130" s="34"/>
      <c r="V130" s="33"/>
      <c r="W130" s="33"/>
      <c r="X130" s="33"/>
      <c r="Y130" s="33"/>
      <c r="Z130" s="33"/>
      <c r="AA130" s="33"/>
    </row>
    <row r="131" customFormat="false" ht="15" hidden="false" customHeight="false" outlineLevel="0" collapsed="false">
      <c r="A131" s="33"/>
      <c r="B131" s="33"/>
      <c r="C131" s="33"/>
      <c r="D131" s="33"/>
      <c r="E131" s="33"/>
      <c r="F131" s="33"/>
      <c r="G131" s="33"/>
      <c r="H131" s="33"/>
      <c r="I131" s="33"/>
      <c r="J131" s="34"/>
      <c r="K131" s="34"/>
      <c r="L131" s="35" t="str">
        <f aca="false">IF($J131="","",$J131-IF($K131="",0,$K131))</f>
        <v/>
      </c>
      <c r="M131" s="36"/>
      <c r="N131" s="33"/>
      <c r="O131" s="33"/>
      <c r="P131" s="37"/>
      <c r="Q131" s="34"/>
      <c r="R131" s="34"/>
      <c r="S131" s="38" t="str">
        <f aca="false">IF(OR($Q131="",$R131="",$R131=0),"",$Q131/$R131)</f>
        <v/>
      </c>
      <c r="T131" s="18" t="str">
        <f aca="false">IF($S131="","",IF($S131&gt;=0.5,"PROCEDE BAJA","EVALUAR REPARACION"))</f>
        <v/>
      </c>
      <c r="U131" s="34"/>
      <c r="V131" s="33"/>
      <c r="W131" s="33"/>
      <c r="X131" s="33"/>
      <c r="Y131" s="33"/>
      <c r="Z131" s="33"/>
      <c r="AA131" s="33"/>
    </row>
    <row r="132" customFormat="false" ht="15" hidden="false" customHeight="false" outlineLevel="0" collapsed="false">
      <c r="A132" s="33"/>
      <c r="B132" s="33"/>
      <c r="C132" s="33"/>
      <c r="D132" s="33"/>
      <c r="E132" s="33"/>
      <c r="F132" s="33"/>
      <c r="G132" s="33"/>
      <c r="H132" s="33"/>
      <c r="I132" s="33"/>
      <c r="J132" s="34"/>
      <c r="K132" s="34"/>
      <c r="L132" s="35" t="str">
        <f aca="false">IF($J132="","",$J132-IF($K132="",0,$K132))</f>
        <v/>
      </c>
      <c r="M132" s="36"/>
      <c r="N132" s="33"/>
      <c r="O132" s="33"/>
      <c r="P132" s="37"/>
      <c r="Q132" s="34"/>
      <c r="R132" s="34"/>
      <c r="S132" s="38" t="str">
        <f aca="false">IF(OR($Q132="",$R132="",$R132=0),"",$Q132/$R132)</f>
        <v/>
      </c>
      <c r="T132" s="18" t="str">
        <f aca="false">IF($S132="","",IF($S132&gt;=0.5,"PROCEDE BAJA","EVALUAR REPARACION"))</f>
        <v/>
      </c>
      <c r="U132" s="34"/>
      <c r="V132" s="33"/>
      <c r="W132" s="33"/>
      <c r="X132" s="33"/>
      <c r="Y132" s="33"/>
      <c r="Z132" s="33"/>
      <c r="AA132" s="33"/>
    </row>
    <row r="133" customFormat="false" ht="15" hidden="false" customHeight="false" outlineLevel="0" collapsed="false">
      <c r="A133" s="33"/>
      <c r="B133" s="33"/>
      <c r="C133" s="33"/>
      <c r="D133" s="33"/>
      <c r="E133" s="33"/>
      <c r="F133" s="33"/>
      <c r="G133" s="33"/>
      <c r="H133" s="33"/>
      <c r="I133" s="33"/>
      <c r="J133" s="34"/>
      <c r="K133" s="34"/>
      <c r="L133" s="35" t="str">
        <f aca="false">IF($J133="","",$J133-IF($K133="",0,$K133))</f>
        <v/>
      </c>
      <c r="M133" s="36"/>
      <c r="N133" s="33"/>
      <c r="O133" s="33"/>
      <c r="P133" s="37"/>
      <c r="Q133" s="34"/>
      <c r="R133" s="34"/>
      <c r="S133" s="38" t="str">
        <f aca="false">IF(OR($Q133="",$R133="",$R133=0),"",$Q133/$R133)</f>
        <v/>
      </c>
      <c r="T133" s="18" t="str">
        <f aca="false">IF($S133="","",IF($S133&gt;=0.5,"PROCEDE BAJA","EVALUAR REPARACION"))</f>
        <v/>
      </c>
      <c r="U133" s="34"/>
      <c r="V133" s="33"/>
      <c r="W133" s="33"/>
      <c r="X133" s="33"/>
      <c r="Y133" s="33"/>
      <c r="Z133" s="33"/>
      <c r="AA133" s="33"/>
    </row>
    <row r="134" customFormat="false" ht="15" hidden="false" customHeight="false" outlineLevel="0" collapsed="false">
      <c r="A134" s="33"/>
      <c r="B134" s="33"/>
      <c r="C134" s="33"/>
      <c r="D134" s="33"/>
      <c r="E134" s="33"/>
      <c r="F134" s="33"/>
      <c r="G134" s="33"/>
      <c r="H134" s="33"/>
      <c r="I134" s="33"/>
      <c r="J134" s="34"/>
      <c r="K134" s="34"/>
      <c r="L134" s="35" t="str">
        <f aca="false">IF($J134="","",$J134-IF($K134="",0,$K134))</f>
        <v/>
      </c>
      <c r="M134" s="36"/>
      <c r="N134" s="33"/>
      <c r="O134" s="33"/>
      <c r="P134" s="37"/>
      <c r="Q134" s="34"/>
      <c r="R134" s="34"/>
      <c r="S134" s="38" t="str">
        <f aca="false">IF(OR($Q134="",$R134="",$R134=0),"",$Q134/$R134)</f>
        <v/>
      </c>
      <c r="T134" s="18" t="str">
        <f aca="false">IF($S134="","",IF($S134&gt;=0.5,"PROCEDE BAJA","EVALUAR REPARACION"))</f>
        <v/>
      </c>
      <c r="U134" s="34"/>
      <c r="V134" s="33"/>
      <c r="W134" s="33"/>
      <c r="X134" s="33"/>
      <c r="Y134" s="33"/>
      <c r="Z134" s="33"/>
      <c r="AA134" s="33"/>
    </row>
    <row r="135" customFormat="false" ht="15" hidden="false" customHeight="false" outlineLevel="0" collapsed="false">
      <c r="A135" s="33"/>
      <c r="B135" s="33"/>
      <c r="C135" s="33"/>
      <c r="D135" s="33"/>
      <c r="E135" s="33"/>
      <c r="F135" s="33"/>
      <c r="G135" s="33"/>
      <c r="H135" s="33"/>
      <c r="I135" s="33"/>
      <c r="J135" s="34"/>
      <c r="K135" s="34"/>
      <c r="L135" s="35" t="str">
        <f aca="false">IF($J135="","",$J135-IF($K135="",0,$K135))</f>
        <v/>
      </c>
      <c r="M135" s="36"/>
      <c r="N135" s="33"/>
      <c r="O135" s="33"/>
      <c r="P135" s="37"/>
      <c r="Q135" s="34"/>
      <c r="R135" s="34"/>
      <c r="S135" s="38" t="str">
        <f aca="false">IF(OR($Q135="",$R135="",$R135=0),"",$Q135/$R135)</f>
        <v/>
      </c>
      <c r="T135" s="18" t="str">
        <f aca="false">IF($S135="","",IF($S135&gt;=0.5,"PROCEDE BAJA","EVALUAR REPARACION"))</f>
        <v/>
      </c>
      <c r="U135" s="34"/>
      <c r="V135" s="33"/>
      <c r="W135" s="33"/>
      <c r="X135" s="33"/>
      <c r="Y135" s="33"/>
      <c r="Z135" s="33"/>
      <c r="AA135" s="33"/>
    </row>
    <row r="136" customFormat="false" ht="15" hidden="false" customHeight="false" outlineLevel="0" collapsed="false">
      <c r="A136" s="33"/>
      <c r="B136" s="33"/>
      <c r="C136" s="33"/>
      <c r="D136" s="33"/>
      <c r="E136" s="33"/>
      <c r="F136" s="33"/>
      <c r="G136" s="33"/>
      <c r="H136" s="33"/>
      <c r="I136" s="33"/>
      <c r="J136" s="34"/>
      <c r="K136" s="34"/>
      <c r="L136" s="35" t="str">
        <f aca="false">IF($J136="","",$J136-IF($K136="",0,$K136))</f>
        <v/>
      </c>
      <c r="M136" s="36"/>
      <c r="N136" s="33"/>
      <c r="O136" s="33"/>
      <c r="P136" s="37"/>
      <c r="Q136" s="34"/>
      <c r="R136" s="34"/>
      <c r="S136" s="38" t="str">
        <f aca="false">IF(OR($Q136="",$R136="",$R136=0),"",$Q136/$R136)</f>
        <v/>
      </c>
      <c r="T136" s="18" t="str">
        <f aca="false">IF($S136="","",IF($S136&gt;=0.5,"PROCEDE BAJA","EVALUAR REPARACION"))</f>
        <v/>
      </c>
      <c r="U136" s="34"/>
      <c r="V136" s="33"/>
      <c r="W136" s="33"/>
      <c r="X136" s="33"/>
      <c r="Y136" s="33"/>
      <c r="Z136" s="33"/>
      <c r="AA136" s="33"/>
    </row>
    <row r="137" customFormat="false" ht="15" hidden="false" customHeight="false" outlineLevel="0" collapsed="false">
      <c r="A137" s="33"/>
      <c r="B137" s="33"/>
      <c r="C137" s="33"/>
      <c r="D137" s="33"/>
      <c r="E137" s="33"/>
      <c r="F137" s="33"/>
      <c r="G137" s="33"/>
      <c r="H137" s="33"/>
      <c r="I137" s="33"/>
      <c r="J137" s="34"/>
      <c r="K137" s="34"/>
      <c r="L137" s="35" t="str">
        <f aca="false">IF($J137="","",$J137-IF($K137="",0,$K137))</f>
        <v/>
      </c>
      <c r="M137" s="36"/>
      <c r="N137" s="33"/>
      <c r="O137" s="33"/>
      <c r="P137" s="37"/>
      <c r="Q137" s="34"/>
      <c r="R137" s="34"/>
      <c r="S137" s="38" t="str">
        <f aca="false">IF(OR($Q137="",$R137="",$R137=0),"",$Q137/$R137)</f>
        <v/>
      </c>
      <c r="T137" s="18" t="str">
        <f aca="false">IF($S137="","",IF($S137&gt;=0.5,"PROCEDE BAJA","EVALUAR REPARACION"))</f>
        <v/>
      </c>
      <c r="U137" s="34"/>
      <c r="V137" s="33"/>
      <c r="W137" s="33"/>
      <c r="X137" s="33"/>
      <c r="Y137" s="33"/>
      <c r="Z137" s="33"/>
      <c r="AA137" s="33"/>
    </row>
    <row r="138" customFormat="false" ht="15" hidden="false" customHeight="false" outlineLevel="0" collapsed="false">
      <c r="A138" s="33"/>
      <c r="B138" s="33"/>
      <c r="C138" s="33"/>
      <c r="D138" s="33"/>
      <c r="E138" s="33"/>
      <c r="F138" s="33"/>
      <c r="G138" s="33"/>
      <c r="H138" s="33"/>
      <c r="I138" s="33"/>
      <c r="J138" s="34"/>
      <c r="K138" s="34"/>
      <c r="L138" s="35" t="str">
        <f aca="false">IF($J138="","",$J138-IF($K138="",0,$K138))</f>
        <v/>
      </c>
      <c r="M138" s="36"/>
      <c r="N138" s="33"/>
      <c r="O138" s="33"/>
      <c r="P138" s="37"/>
      <c r="Q138" s="34"/>
      <c r="R138" s="34"/>
      <c r="S138" s="38" t="str">
        <f aca="false">IF(OR($Q138="",$R138="",$R138=0),"",$Q138/$R138)</f>
        <v/>
      </c>
      <c r="T138" s="18" t="str">
        <f aca="false">IF($S138="","",IF($S138&gt;=0.5,"PROCEDE BAJA","EVALUAR REPARACION"))</f>
        <v/>
      </c>
      <c r="U138" s="34"/>
      <c r="V138" s="33"/>
      <c r="W138" s="33"/>
      <c r="X138" s="33"/>
      <c r="Y138" s="33"/>
      <c r="Z138" s="33"/>
      <c r="AA138" s="33"/>
    </row>
    <row r="139" customFormat="false" ht="15" hidden="false" customHeight="false" outlineLevel="0" collapsed="false">
      <c r="A139" s="33"/>
      <c r="B139" s="33"/>
      <c r="C139" s="33"/>
      <c r="D139" s="33"/>
      <c r="E139" s="33"/>
      <c r="F139" s="33"/>
      <c r="G139" s="33"/>
      <c r="H139" s="33"/>
      <c r="I139" s="33"/>
      <c r="J139" s="34"/>
      <c r="K139" s="34"/>
      <c r="L139" s="35" t="str">
        <f aca="false">IF($J139="","",$J139-IF($K139="",0,$K139))</f>
        <v/>
      </c>
      <c r="M139" s="36"/>
      <c r="N139" s="33"/>
      <c r="O139" s="33"/>
      <c r="P139" s="37"/>
      <c r="Q139" s="34"/>
      <c r="R139" s="34"/>
      <c r="S139" s="38" t="str">
        <f aca="false">IF(OR($Q139="",$R139="",$R139=0),"",$Q139/$R139)</f>
        <v/>
      </c>
      <c r="T139" s="18" t="str">
        <f aca="false">IF($S139="","",IF($S139&gt;=0.5,"PROCEDE BAJA","EVALUAR REPARACION"))</f>
        <v/>
      </c>
      <c r="U139" s="34"/>
      <c r="V139" s="33"/>
      <c r="W139" s="33"/>
      <c r="X139" s="33"/>
      <c r="Y139" s="33"/>
      <c r="Z139" s="33"/>
      <c r="AA139" s="33"/>
    </row>
    <row r="140" customFormat="false" ht="15" hidden="false" customHeight="false" outlineLevel="0" collapsed="false">
      <c r="A140" s="33"/>
      <c r="B140" s="33"/>
      <c r="C140" s="33"/>
      <c r="D140" s="33"/>
      <c r="E140" s="33"/>
      <c r="F140" s="33"/>
      <c r="G140" s="33"/>
      <c r="H140" s="33"/>
      <c r="I140" s="33"/>
      <c r="J140" s="34"/>
      <c r="K140" s="34"/>
      <c r="L140" s="35" t="str">
        <f aca="false">IF($J140="","",$J140-IF($K140="",0,$K140))</f>
        <v/>
      </c>
      <c r="M140" s="36"/>
      <c r="N140" s="33"/>
      <c r="O140" s="33"/>
      <c r="P140" s="37"/>
      <c r="Q140" s="34"/>
      <c r="R140" s="34"/>
      <c r="S140" s="38" t="str">
        <f aca="false">IF(OR($Q140="",$R140="",$R140=0),"",$Q140/$R140)</f>
        <v/>
      </c>
      <c r="T140" s="18" t="str">
        <f aca="false">IF($S140="","",IF($S140&gt;=0.5,"PROCEDE BAJA","EVALUAR REPARACION"))</f>
        <v/>
      </c>
      <c r="U140" s="34"/>
      <c r="V140" s="33"/>
      <c r="W140" s="33"/>
      <c r="X140" s="33"/>
      <c r="Y140" s="33"/>
      <c r="Z140" s="33"/>
      <c r="AA140" s="33"/>
    </row>
    <row r="141" customFormat="false" ht="15" hidden="false" customHeight="false" outlineLevel="0" collapsed="false">
      <c r="A141" s="33"/>
      <c r="B141" s="33"/>
      <c r="C141" s="33"/>
      <c r="D141" s="33"/>
      <c r="E141" s="33"/>
      <c r="F141" s="33"/>
      <c r="G141" s="33"/>
      <c r="H141" s="33"/>
      <c r="I141" s="33"/>
      <c r="J141" s="34"/>
      <c r="K141" s="34"/>
      <c r="L141" s="35" t="str">
        <f aca="false">IF($J141="","",$J141-IF($K141="",0,$K141))</f>
        <v/>
      </c>
      <c r="M141" s="36"/>
      <c r="N141" s="33"/>
      <c r="O141" s="33"/>
      <c r="P141" s="37"/>
      <c r="Q141" s="34"/>
      <c r="R141" s="34"/>
      <c r="S141" s="38" t="str">
        <f aca="false">IF(OR($Q141="",$R141="",$R141=0),"",$Q141/$R141)</f>
        <v/>
      </c>
      <c r="T141" s="18" t="str">
        <f aca="false">IF($S141="","",IF($S141&gt;=0.5,"PROCEDE BAJA","EVALUAR REPARACION"))</f>
        <v/>
      </c>
      <c r="U141" s="34"/>
      <c r="V141" s="33"/>
      <c r="W141" s="33"/>
      <c r="X141" s="33"/>
      <c r="Y141" s="33"/>
      <c r="Z141" s="33"/>
      <c r="AA141" s="33"/>
    </row>
    <row r="142" customFormat="false" ht="15" hidden="false" customHeight="false" outlineLevel="0" collapsed="false">
      <c r="A142" s="33"/>
      <c r="B142" s="33"/>
      <c r="C142" s="33"/>
      <c r="D142" s="33"/>
      <c r="E142" s="33"/>
      <c r="F142" s="33"/>
      <c r="G142" s="33"/>
      <c r="H142" s="33"/>
      <c r="I142" s="33"/>
      <c r="J142" s="34"/>
      <c r="K142" s="34"/>
      <c r="L142" s="35" t="str">
        <f aca="false">IF($J142="","",$J142-IF($K142="",0,$K142))</f>
        <v/>
      </c>
      <c r="M142" s="36"/>
      <c r="N142" s="33"/>
      <c r="O142" s="33"/>
      <c r="P142" s="37"/>
      <c r="Q142" s="34"/>
      <c r="R142" s="34"/>
      <c r="S142" s="38" t="str">
        <f aca="false">IF(OR($Q142="",$R142="",$R142=0),"",$Q142/$R142)</f>
        <v/>
      </c>
      <c r="T142" s="18" t="str">
        <f aca="false">IF($S142="","",IF($S142&gt;=0.5,"PROCEDE BAJA","EVALUAR REPARACION"))</f>
        <v/>
      </c>
      <c r="U142" s="34"/>
      <c r="V142" s="33"/>
      <c r="W142" s="33"/>
      <c r="X142" s="33"/>
      <c r="Y142" s="33"/>
      <c r="Z142" s="33"/>
      <c r="AA142" s="33"/>
    </row>
    <row r="143" customFormat="false" ht="15" hidden="false" customHeight="false" outlineLevel="0" collapsed="false">
      <c r="A143" s="33"/>
      <c r="B143" s="33"/>
      <c r="C143" s="33"/>
      <c r="D143" s="33"/>
      <c r="E143" s="33"/>
      <c r="F143" s="33"/>
      <c r="G143" s="33"/>
      <c r="H143" s="33"/>
      <c r="I143" s="33"/>
      <c r="J143" s="34"/>
      <c r="K143" s="34"/>
      <c r="L143" s="35" t="str">
        <f aca="false">IF($J143="","",$J143-IF($K143="",0,$K143))</f>
        <v/>
      </c>
      <c r="M143" s="36"/>
      <c r="N143" s="33"/>
      <c r="O143" s="33"/>
      <c r="P143" s="37"/>
      <c r="Q143" s="34"/>
      <c r="R143" s="34"/>
      <c r="S143" s="38" t="str">
        <f aca="false">IF(OR($Q143="",$R143="",$R143=0),"",$Q143/$R143)</f>
        <v/>
      </c>
      <c r="T143" s="18" t="str">
        <f aca="false">IF($S143="","",IF($S143&gt;=0.5,"PROCEDE BAJA","EVALUAR REPARACION"))</f>
        <v/>
      </c>
      <c r="U143" s="34"/>
      <c r="V143" s="33"/>
      <c r="W143" s="33"/>
      <c r="X143" s="33"/>
      <c r="Y143" s="33"/>
      <c r="Z143" s="33"/>
      <c r="AA143" s="33"/>
    </row>
    <row r="144" customFormat="false" ht="15" hidden="false" customHeight="false" outlineLevel="0" collapsed="false">
      <c r="A144" s="33"/>
      <c r="B144" s="33"/>
      <c r="C144" s="33"/>
      <c r="D144" s="33"/>
      <c r="E144" s="33"/>
      <c r="F144" s="33"/>
      <c r="G144" s="33"/>
      <c r="H144" s="33"/>
      <c r="I144" s="33"/>
      <c r="J144" s="34"/>
      <c r="K144" s="34"/>
      <c r="L144" s="35" t="str">
        <f aca="false">IF($J144="","",$J144-IF($K144="",0,$K144))</f>
        <v/>
      </c>
      <c r="M144" s="36"/>
      <c r="N144" s="33"/>
      <c r="O144" s="33"/>
      <c r="P144" s="37"/>
      <c r="Q144" s="34"/>
      <c r="R144" s="34"/>
      <c r="S144" s="38" t="str">
        <f aca="false">IF(OR($Q144="",$R144="",$R144=0),"",$Q144/$R144)</f>
        <v/>
      </c>
      <c r="T144" s="18" t="str">
        <f aca="false">IF($S144="","",IF($S144&gt;=0.5,"PROCEDE BAJA","EVALUAR REPARACION"))</f>
        <v/>
      </c>
      <c r="U144" s="34"/>
      <c r="V144" s="33"/>
      <c r="W144" s="33"/>
      <c r="X144" s="33"/>
      <c r="Y144" s="33"/>
      <c r="Z144" s="33"/>
      <c r="AA144" s="33"/>
    </row>
    <row r="145" customFormat="false" ht="15" hidden="false" customHeight="false" outlineLevel="0" collapsed="false">
      <c r="A145" s="33"/>
      <c r="B145" s="33"/>
      <c r="C145" s="33"/>
      <c r="D145" s="33"/>
      <c r="E145" s="33"/>
      <c r="F145" s="33"/>
      <c r="G145" s="33"/>
      <c r="H145" s="33"/>
      <c r="I145" s="33"/>
      <c r="J145" s="34"/>
      <c r="K145" s="34"/>
      <c r="L145" s="35" t="str">
        <f aca="false">IF($J145="","",$J145-IF($K145="",0,$K145))</f>
        <v/>
      </c>
      <c r="M145" s="36"/>
      <c r="N145" s="33"/>
      <c r="O145" s="33"/>
      <c r="P145" s="37"/>
      <c r="Q145" s="34"/>
      <c r="R145" s="34"/>
      <c r="S145" s="38" t="str">
        <f aca="false">IF(OR($Q145="",$R145="",$R145=0),"",$Q145/$R145)</f>
        <v/>
      </c>
      <c r="T145" s="18" t="str">
        <f aca="false">IF($S145="","",IF($S145&gt;=0.5,"PROCEDE BAJA","EVALUAR REPARACION"))</f>
        <v/>
      </c>
      <c r="U145" s="34"/>
      <c r="V145" s="33"/>
      <c r="W145" s="33"/>
      <c r="X145" s="33"/>
      <c r="Y145" s="33"/>
      <c r="Z145" s="33"/>
      <c r="AA145" s="33"/>
    </row>
    <row r="146" customFormat="false" ht="15" hidden="false" customHeight="false" outlineLevel="0" collapsed="false">
      <c r="A146" s="33"/>
      <c r="B146" s="33"/>
      <c r="C146" s="33"/>
      <c r="D146" s="33"/>
      <c r="E146" s="33"/>
      <c r="F146" s="33"/>
      <c r="G146" s="33"/>
      <c r="H146" s="33"/>
      <c r="I146" s="33"/>
      <c r="J146" s="34"/>
      <c r="K146" s="34"/>
      <c r="L146" s="35" t="str">
        <f aca="false">IF($J146="","",$J146-IF($K146="",0,$K146))</f>
        <v/>
      </c>
      <c r="M146" s="36"/>
      <c r="N146" s="33"/>
      <c r="O146" s="33"/>
      <c r="P146" s="37"/>
      <c r="Q146" s="34"/>
      <c r="R146" s="34"/>
      <c r="S146" s="38" t="str">
        <f aca="false">IF(OR($Q146="",$R146="",$R146=0),"",$Q146/$R146)</f>
        <v/>
      </c>
      <c r="T146" s="18" t="str">
        <f aca="false">IF($S146="","",IF($S146&gt;=0.5,"PROCEDE BAJA","EVALUAR REPARACION"))</f>
        <v/>
      </c>
      <c r="U146" s="34"/>
      <c r="V146" s="33"/>
      <c r="W146" s="33"/>
      <c r="X146" s="33"/>
      <c r="Y146" s="33"/>
      <c r="Z146" s="33"/>
      <c r="AA146" s="33"/>
    </row>
    <row r="147" customFormat="false" ht="15" hidden="false" customHeight="false" outlineLevel="0" collapsed="false">
      <c r="A147" s="33"/>
      <c r="B147" s="33"/>
      <c r="C147" s="33"/>
      <c r="D147" s="33"/>
      <c r="E147" s="33"/>
      <c r="F147" s="33"/>
      <c r="G147" s="33"/>
      <c r="H147" s="33"/>
      <c r="I147" s="33"/>
      <c r="J147" s="34"/>
      <c r="K147" s="34"/>
      <c r="L147" s="35" t="str">
        <f aca="false">IF($J147="","",$J147-IF($K147="",0,$K147))</f>
        <v/>
      </c>
      <c r="M147" s="36"/>
      <c r="N147" s="33"/>
      <c r="O147" s="33"/>
      <c r="P147" s="37"/>
      <c r="Q147" s="34"/>
      <c r="R147" s="34"/>
      <c r="S147" s="38" t="str">
        <f aca="false">IF(OR($Q147="",$R147="",$R147=0),"",$Q147/$R147)</f>
        <v/>
      </c>
      <c r="T147" s="18" t="str">
        <f aca="false">IF($S147="","",IF($S147&gt;=0.5,"PROCEDE BAJA","EVALUAR REPARACION"))</f>
        <v/>
      </c>
      <c r="U147" s="34"/>
      <c r="V147" s="33"/>
      <c r="W147" s="33"/>
      <c r="X147" s="33"/>
      <c r="Y147" s="33"/>
      <c r="Z147" s="33"/>
      <c r="AA147" s="33"/>
    </row>
    <row r="148" customFormat="false" ht="15" hidden="false" customHeight="false" outlineLevel="0" collapsed="false">
      <c r="A148" s="33"/>
      <c r="B148" s="33"/>
      <c r="C148" s="33"/>
      <c r="D148" s="33"/>
      <c r="E148" s="33"/>
      <c r="F148" s="33"/>
      <c r="G148" s="33"/>
      <c r="H148" s="33"/>
      <c r="I148" s="33"/>
      <c r="J148" s="34"/>
      <c r="K148" s="34"/>
      <c r="L148" s="35" t="str">
        <f aca="false">IF($J148="","",$J148-IF($K148="",0,$K148))</f>
        <v/>
      </c>
      <c r="M148" s="36"/>
      <c r="N148" s="33"/>
      <c r="O148" s="33"/>
      <c r="P148" s="37"/>
      <c r="Q148" s="34"/>
      <c r="R148" s="34"/>
      <c r="S148" s="38" t="str">
        <f aca="false">IF(OR($Q148="",$R148="",$R148=0),"",$Q148/$R148)</f>
        <v/>
      </c>
      <c r="T148" s="18" t="str">
        <f aca="false">IF($S148="","",IF($S148&gt;=0.5,"PROCEDE BAJA","EVALUAR REPARACION"))</f>
        <v/>
      </c>
      <c r="U148" s="34"/>
      <c r="V148" s="33"/>
      <c r="W148" s="33"/>
      <c r="X148" s="33"/>
      <c r="Y148" s="33"/>
      <c r="Z148" s="33"/>
      <c r="AA148" s="33"/>
    </row>
    <row r="149" customFormat="false" ht="15" hidden="false" customHeight="false" outlineLevel="0" collapsed="false">
      <c r="A149" s="33"/>
      <c r="B149" s="33"/>
      <c r="C149" s="33"/>
      <c r="D149" s="33"/>
      <c r="E149" s="33"/>
      <c r="F149" s="33"/>
      <c r="G149" s="33"/>
      <c r="H149" s="33"/>
      <c r="I149" s="33"/>
      <c r="J149" s="34"/>
      <c r="K149" s="34"/>
      <c r="L149" s="35" t="str">
        <f aca="false">IF($J149="","",$J149-IF($K149="",0,$K149))</f>
        <v/>
      </c>
      <c r="M149" s="36"/>
      <c r="N149" s="33"/>
      <c r="O149" s="33"/>
      <c r="P149" s="37"/>
      <c r="Q149" s="34"/>
      <c r="R149" s="34"/>
      <c r="S149" s="38" t="str">
        <f aca="false">IF(OR($Q149="",$R149="",$R149=0),"",$Q149/$R149)</f>
        <v/>
      </c>
      <c r="T149" s="18" t="str">
        <f aca="false">IF($S149="","",IF($S149&gt;=0.5,"PROCEDE BAJA","EVALUAR REPARACION"))</f>
        <v/>
      </c>
      <c r="U149" s="34"/>
      <c r="V149" s="33"/>
      <c r="W149" s="33"/>
      <c r="X149" s="33"/>
      <c r="Y149" s="33"/>
      <c r="Z149" s="33"/>
      <c r="AA149" s="33"/>
    </row>
    <row r="150" customFormat="false" ht="15" hidden="false" customHeight="false" outlineLevel="0" collapsed="false">
      <c r="A150" s="33"/>
      <c r="B150" s="33"/>
      <c r="C150" s="33"/>
      <c r="D150" s="33"/>
      <c r="E150" s="33"/>
      <c r="F150" s="33"/>
      <c r="G150" s="33"/>
      <c r="H150" s="33"/>
      <c r="I150" s="33"/>
      <c r="J150" s="34"/>
      <c r="K150" s="34"/>
      <c r="L150" s="35" t="str">
        <f aca="false">IF($J150="","",$J150-IF($K150="",0,$K150))</f>
        <v/>
      </c>
      <c r="M150" s="36"/>
      <c r="N150" s="33"/>
      <c r="O150" s="33"/>
      <c r="P150" s="37"/>
      <c r="Q150" s="34"/>
      <c r="R150" s="34"/>
      <c r="S150" s="38" t="str">
        <f aca="false">IF(OR($Q150="",$R150="",$R150=0),"",$Q150/$R150)</f>
        <v/>
      </c>
      <c r="T150" s="18" t="str">
        <f aca="false">IF($S150="","",IF($S150&gt;=0.5,"PROCEDE BAJA","EVALUAR REPARACION"))</f>
        <v/>
      </c>
      <c r="U150" s="34"/>
      <c r="V150" s="33"/>
      <c r="W150" s="33"/>
      <c r="X150" s="33"/>
      <c r="Y150" s="33"/>
      <c r="Z150" s="33"/>
      <c r="AA150" s="33"/>
    </row>
    <row r="151" customFormat="false" ht="15" hidden="false" customHeight="false" outlineLevel="0" collapsed="false">
      <c r="A151" s="33"/>
      <c r="B151" s="33"/>
      <c r="C151" s="33"/>
      <c r="D151" s="33"/>
      <c r="E151" s="33"/>
      <c r="F151" s="33"/>
      <c r="G151" s="33"/>
      <c r="H151" s="33"/>
      <c r="I151" s="33"/>
      <c r="J151" s="34"/>
      <c r="K151" s="34"/>
      <c r="L151" s="35" t="str">
        <f aca="false">IF($J151="","",$J151-IF($K151="",0,$K151))</f>
        <v/>
      </c>
      <c r="M151" s="36"/>
      <c r="N151" s="33"/>
      <c r="O151" s="33"/>
      <c r="P151" s="37"/>
      <c r="Q151" s="34"/>
      <c r="R151" s="34"/>
      <c r="S151" s="38" t="str">
        <f aca="false">IF(OR($Q151="",$R151="",$R151=0),"",$Q151/$R151)</f>
        <v/>
      </c>
      <c r="T151" s="18" t="str">
        <f aca="false">IF($S151="","",IF($S151&gt;=0.5,"PROCEDE BAJA","EVALUAR REPARACION"))</f>
        <v/>
      </c>
      <c r="U151" s="34"/>
      <c r="V151" s="33"/>
      <c r="W151" s="33"/>
      <c r="X151" s="33"/>
      <c r="Y151" s="33"/>
      <c r="Z151" s="33"/>
      <c r="AA151" s="33"/>
    </row>
    <row r="152" customFormat="false" ht="15" hidden="false" customHeight="false" outlineLevel="0" collapsed="false">
      <c r="A152" s="33"/>
      <c r="B152" s="33"/>
      <c r="C152" s="33"/>
      <c r="D152" s="33"/>
      <c r="E152" s="33"/>
      <c r="F152" s="33"/>
      <c r="G152" s="33"/>
      <c r="H152" s="33"/>
      <c r="I152" s="33"/>
      <c r="J152" s="34"/>
      <c r="K152" s="34"/>
      <c r="L152" s="35" t="str">
        <f aca="false">IF($J152="","",$J152-IF($K152="",0,$K152))</f>
        <v/>
      </c>
      <c r="M152" s="36"/>
      <c r="N152" s="33"/>
      <c r="O152" s="33"/>
      <c r="P152" s="37"/>
      <c r="Q152" s="34"/>
      <c r="R152" s="34"/>
      <c r="S152" s="38" t="str">
        <f aca="false">IF(OR($Q152="",$R152="",$R152=0),"",$Q152/$R152)</f>
        <v/>
      </c>
      <c r="T152" s="18" t="str">
        <f aca="false">IF($S152="","",IF($S152&gt;=0.5,"PROCEDE BAJA","EVALUAR REPARACION"))</f>
        <v/>
      </c>
      <c r="U152" s="34"/>
      <c r="V152" s="33"/>
      <c r="W152" s="33"/>
      <c r="X152" s="33"/>
      <c r="Y152" s="33"/>
      <c r="Z152" s="33"/>
      <c r="AA152" s="33"/>
    </row>
    <row r="153" customFormat="false" ht="15" hidden="false" customHeight="false" outlineLevel="0" collapsed="false">
      <c r="A153" s="33"/>
      <c r="B153" s="33"/>
      <c r="C153" s="33"/>
      <c r="D153" s="33"/>
      <c r="E153" s="33"/>
      <c r="F153" s="33"/>
      <c r="G153" s="33"/>
      <c r="H153" s="33"/>
      <c r="I153" s="33"/>
      <c r="J153" s="34"/>
      <c r="K153" s="34"/>
      <c r="L153" s="35" t="str">
        <f aca="false">IF($J153="","",$J153-IF($K153="",0,$K153))</f>
        <v/>
      </c>
      <c r="M153" s="36"/>
      <c r="N153" s="33"/>
      <c r="O153" s="33"/>
      <c r="P153" s="37"/>
      <c r="Q153" s="34"/>
      <c r="R153" s="34"/>
      <c r="S153" s="38" t="str">
        <f aca="false">IF(OR($Q153="",$R153="",$R153=0),"",$Q153/$R153)</f>
        <v/>
      </c>
      <c r="T153" s="18" t="str">
        <f aca="false">IF($S153="","",IF($S153&gt;=0.5,"PROCEDE BAJA","EVALUAR REPARACION"))</f>
        <v/>
      </c>
      <c r="U153" s="34"/>
      <c r="V153" s="33"/>
      <c r="W153" s="33"/>
      <c r="X153" s="33"/>
      <c r="Y153" s="33"/>
      <c r="Z153" s="33"/>
      <c r="AA153" s="33"/>
    </row>
    <row r="154" customFormat="false" ht="15" hidden="false" customHeight="false" outlineLevel="0" collapsed="false">
      <c r="A154" s="33"/>
      <c r="B154" s="33"/>
      <c r="C154" s="33"/>
      <c r="D154" s="33"/>
      <c r="E154" s="33"/>
      <c r="F154" s="33"/>
      <c r="G154" s="33"/>
      <c r="H154" s="33"/>
      <c r="I154" s="33"/>
      <c r="J154" s="34"/>
      <c r="K154" s="34"/>
      <c r="L154" s="35" t="str">
        <f aca="false">IF($J154="","",$J154-IF($K154="",0,$K154))</f>
        <v/>
      </c>
      <c r="M154" s="36"/>
      <c r="N154" s="33"/>
      <c r="O154" s="33"/>
      <c r="P154" s="37"/>
      <c r="Q154" s="34"/>
      <c r="R154" s="34"/>
      <c r="S154" s="38" t="str">
        <f aca="false">IF(OR($Q154="",$R154="",$R154=0),"",$Q154/$R154)</f>
        <v/>
      </c>
      <c r="T154" s="18" t="str">
        <f aca="false">IF($S154="","",IF($S154&gt;=0.5,"PROCEDE BAJA","EVALUAR REPARACION"))</f>
        <v/>
      </c>
      <c r="U154" s="34"/>
      <c r="V154" s="33"/>
      <c r="W154" s="33"/>
      <c r="X154" s="33"/>
      <c r="Y154" s="33"/>
      <c r="Z154" s="33"/>
      <c r="AA154" s="33"/>
    </row>
    <row r="155" customFormat="false" ht="15" hidden="false" customHeight="false" outlineLevel="0" collapsed="false">
      <c r="A155" s="33"/>
      <c r="B155" s="33"/>
      <c r="C155" s="33"/>
      <c r="D155" s="33"/>
      <c r="E155" s="33"/>
      <c r="F155" s="33"/>
      <c r="G155" s="33"/>
      <c r="H155" s="33"/>
      <c r="I155" s="33"/>
      <c r="J155" s="34"/>
      <c r="K155" s="34"/>
      <c r="L155" s="35" t="str">
        <f aca="false">IF($J155="","",$J155-IF($K155="",0,$K155))</f>
        <v/>
      </c>
      <c r="M155" s="36"/>
      <c r="N155" s="33"/>
      <c r="O155" s="33"/>
      <c r="P155" s="37"/>
      <c r="Q155" s="34"/>
      <c r="R155" s="34"/>
      <c r="S155" s="38" t="str">
        <f aca="false">IF(OR($Q155="",$R155="",$R155=0),"",$Q155/$R155)</f>
        <v/>
      </c>
      <c r="T155" s="18" t="str">
        <f aca="false">IF($S155="","",IF($S155&gt;=0.5,"PROCEDE BAJA","EVALUAR REPARACION"))</f>
        <v/>
      </c>
      <c r="U155" s="34"/>
      <c r="V155" s="33"/>
      <c r="W155" s="33"/>
      <c r="X155" s="33"/>
      <c r="Y155" s="33"/>
      <c r="Z155" s="33"/>
      <c r="AA155" s="33"/>
    </row>
    <row r="156" customFormat="false" ht="15" hidden="false" customHeight="false" outlineLevel="0" collapsed="false">
      <c r="A156" s="33"/>
      <c r="B156" s="33"/>
      <c r="C156" s="33"/>
      <c r="D156" s="33"/>
      <c r="E156" s="33"/>
      <c r="F156" s="33"/>
      <c r="G156" s="33"/>
      <c r="H156" s="33"/>
      <c r="I156" s="33"/>
      <c r="J156" s="34"/>
      <c r="K156" s="34"/>
      <c r="L156" s="35" t="str">
        <f aca="false">IF($J156="","",$J156-IF($K156="",0,$K156))</f>
        <v/>
      </c>
      <c r="M156" s="36"/>
      <c r="N156" s="33"/>
      <c r="O156" s="33"/>
      <c r="P156" s="37"/>
      <c r="Q156" s="34"/>
      <c r="R156" s="34"/>
      <c r="S156" s="38" t="str">
        <f aca="false">IF(OR($Q156="",$R156="",$R156=0),"",$Q156/$R156)</f>
        <v/>
      </c>
      <c r="T156" s="18" t="str">
        <f aca="false">IF($S156="","",IF($S156&gt;=0.5,"PROCEDE BAJA","EVALUAR REPARACION"))</f>
        <v/>
      </c>
      <c r="U156" s="34"/>
      <c r="V156" s="33"/>
      <c r="W156" s="33"/>
      <c r="X156" s="33"/>
      <c r="Y156" s="33"/>
      <c r="Z156" s="33"/>
      <c r="AA156" s="33"/>
    </row>
    <row r="157" customFormat="false" ht="15" hidden="false" customHeight="false" outlineLevel="0" collapsed="false">
      <c r="A157" s="33"/>
      <c r="B157" s="33"/>
      <c r="C157" s="33"/>
      <c r="D157" s="33"/>
      <c r="E157" s="33"/>
      <c r="F157" s="33"/>
      <c r="G157" s="33"/>
      <c r="H157" s="33"/>
      <c r="I157" s="33"/>
      <c r="J157" s="34"/>
      <c r="K157" s="34"/>
      <c r="L157" s="35" t="str">
        <f aca="false">IF($J157="","",$J157-IF($K157="",0,$K157))</f>
        <v/>
      </c>
      <c r="M157" s="36"/>
      <c r="N157" s="33"/>
      <c r="O157" s="33"/>
      <c r="P157" s="37"/>
      <c r="Q157" s="34"/>
      <c r="R157" s="34"/>
      <c r="S157" s="38" t="str">
        <f aca="false">IF(OR($Q157="",$R157="",$R157=0),"",$Q157/$R157)</f>
        <v/>
      </c>
      <c r="T157" s="18" t="str">
        <f aca="false">IF($S157="","",IF($S157&gt;=0.5,"PROCEDE BAJA","EVALUAR REPARACION"))</f>
        <v/>
      </c>
      <c r="U157" s="34"/>
      <c r="V157" s="33"/>
      <c r="W157" s="33"/>
      <c r="X157" s="33"/>
      <c r="Y157" s="33"/>
      <c r="Z157" s="33"/>
      <c r="AA157" s="33"/>
    </row>
  </sheetData>
  <mergeCells count="2">
    <mergeCell ref="A1:AA1"/>
    <mergeCell ref="A2:AA2"/>
  </mergeCells>
  <dataValidations count="4">
    <dataValidation allowBlank="true" error="Seleccione un valor de la lista desplegable." errorStyle="stop" errorTitle="Valor no permitido" operator="between" showDropDown="false" showErrorMessage="true" showInputMessage="false" sqref="N7:N157" type="list">
      <formula1>"BUENO,REGULAR,MALO,INSERVIBLE"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O7:O157" type="list">
      <formula1>"OBSOLESCENCIA,INSERVIBLE,CASO_FORTUITO,DESUSO,DONACION_O_TRASLADO"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V7:V157" type="list">
      <formula1>"VENTA,REMATE,DESTRUCCION,DONACION,RECICLAJE_RAEE,GESTOR_AMBIENTAL"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Y7:Y157" type="list">
      <formula1>"PROPUESTO,EN_REVISION,APROBADO_COMITE,RECHAZADO,RESOLUCION_EMITIDA,EJECUTADO"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6" min="4" style="1" width="16"/>
    <col collapsed="false" customWidth="true" hidden="false" outlineLevel="0" max="8" min="7" style="1" width="22"/>
    <col collapsed="false" customWidth="true" hidden="false" outlineLevel="0" max="9" min="9" style="1" width="14"/>
    <col collapsed="false" customWidth="true" hidden="false" outlineLevel="0" max="12" min="10" style="1" width="16"/>
    <col collapsed="false" customWidth="true" hidden="false" outlineLevel="0" max="14" min="13" style="1" width="13"/>
    <col collapsed="false" customWidth="true" hidden="false" outlineLevel="0" max="15" min="15" style="1" width="22"/>
    <col collapsed="false" customWidth="true" hidden="false" outlineLevel="0" max="16" min="16" style="1" width="44"/>
    <col collapsed="false" customWidth="true" hidden="false" outlineLevel="0" max="18" min="17" style="1" width="16"/>
    <col collapsed="false" customWidth="true" hidden="false" outlineLevel="0" max="19" min="19" style="1" width="14"/>
    <col collapsed="false" customWidth="true" hidden="false" outlineLevel="0" max="20" min="20" style="1" width="18"/>
    <col collapsed="false" customWidth="true" hidden="false" outlineLevel="0" max="21" min="21" style="1" width="14"/>
    <col collapsed="false" customWidth="true" hidden="false" outlineLevel="0" max="22" min="22" style="1" width="22"/>
    <col collapsed="false" customWidth="true" hidden="false" outlineLevel="0" max="23" min="23" style="1" width="24"/>
    <col collapsed="false" customWidth="true" hidden="false" outlineLevel="0" max="24" min="24" style="1" width="28"/>
    <col collapsed="false" customWidth="true" hidden="false" outlineLevel="0" max="25" min="25" style="1" width="22"/>
    <col collapsed="false" customWidth="true" hidden="false" outlineLevel="0" max="27" min="26" style="1" width="18"/>
  </cols>
  <sheetData>
    <row r="1" customFormat="false" ht="15" hidden="false" customHeight="false" outlineLevel="0" collapsed="false">
      <c r="A1" s="21" t="s">
        <v>108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customFormat="false" ht="15" hidden="false" customHeight="false" outlineLevel="0" collapsed="false">
      <c r="A2" s="22" t="s">
        <v>133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customFormat="false" ht="15" hidden="false" customHeight="false" outlineLevel="0" collapsed="false">
      <c r="A3" s="3" t="s">
        <v>110</v>
      </c>
      <c r="B3" s="23" t="s">
        <v>111</v>
      </c>
      <c r="D3" s="3" t="s">
        <v>112</v>
      </c>
      <c r="E3" s="24"/>
    </row>
    <row r="4" customFormat="false" ht="15" hidden="false" customHeight="false" outlineLevel="0" collapsed="false">
      <c r="A4" s="25" t="s">
        <v>113</v>
      </c>
    </row>
    <row r="6" customFormat="false" ht="33.75" hidden="false" customHeight="true" outlineLevel="0" collapsed="false">
      <c r="A6" s="26" t="s">
        <v>44</v>
      </c>
      <c r="B6" s="26" t="s">
        <v>47</v>
      </c>
      <c r="C6" s="26" t="s">
        <v>49</v>
      </c>
      <c r="D6" s="26" t="s">
        <v>50</v>
      </c>
      <c r="E6" s="26" t="s">
        <v>51</v>
      </c>
      <c r="F6" s="26" t="s">
        <v>52</v>
      </c>
      <c r="G6" s="26" t="s">
        <v>53</v>
      </c>
      <c r="H6" s="26" t="s">
        <v>54</v>
      </c>
      <c r="I6" s="26" t="s">
        <v>55</v>
      </c>
      <c r="J6" s="26" t="s">
        <v>56</v>
      </c>
      <c r="K6" s="26" t="s">
        <v>58</v>
      </c>
      <c r="L6" s="27" t="s">
        <v>60</v>
      </c>
      <c r="M6" s="26" t="s">
        <v>63</v>
      </c>
      <c r="N6" s="26" t="s">
        <v>66</v>
      </c>
      <c r="O6" s="26" t="s">
        <v>67</v>
      </c>
      <c r="P6" s="26" t="s">
        <v>69</v>
      </c>
      <c r="Q6" s="26" t="s">
        <v>71</v>
      </c>
      <c r="R6" s="26" t="s">
        <v>73</v>
      </c>
      <c r="S6" s="27" t="s">
        <v>75</v>
      </c>
      <c r="T6" s="27" t="s">
        <v>77</v>
      </c>
      <c r="U6" s="26" t="s">
        <v>79</v>
      </c>
      <c r="V6" s="26" t="s">
        <v>81</v>
      </c>
      <c r="W6" s="26" t="s">
        <v>83</v>
      </c>
      <c r="X6" s="26" t="s">
        <v>85</v>
      </c>
      <c r="Y6" s="26" t="s">
        <v>87</v>
      </c>
      <c r="Z6" s="26" t="s">
        <v>89</v>
      </c>
      <c r="AA6" s="26" t="s">
        <v>91</v>
      </c>
    </row>
    <row r="7" customFormat="false" ht="22.35" hidden="false" customHeight="false" outlineLevel="0" collapsed="false">
      <c r="A7" s="28" t="s">
        <v>114</v>
      </c>
      <c r="B7" s="28" t="s">
        <v>115</v>
      </c>
      <c r="C7" s="28" t="s">
        <v>116</v>
      </c>
      <c r="D7" s="28" t="s">
        <v>117</v>
      </c>
      <c r="E7" s="28" t="s">
        <v>118</v>
      </c>
      <c r="F7" s="28" t="s">
        <v>119</v>
      </c>
      <c r="G7" s="28" t="s">
        <v>120</v>
      </c>
      <c r="H7" s="28" t="s">
        <v>121</v>
      </c>
      <c r="I7" s="28" t="s">
        <v>122</v>
      </c>
      <c r="J7" s="29" t="n">
        <v>490000</v>
      </c>
      <c r="K7" s="29" t="n">
        <v>338333</v>
      </c>
      <c r="L7" s="29" t="n">
        <f aca="false">IF($J7="","",$J7-IF($K7="",0,$K7))</f>
        <v>151667</v>
      </c>
      <c r="M7" s="30" t="n">
        <v>0.6926</v>
      </c>
      <c r="N7" s="28" t="s">
        <v>123</v>
      </c>
      <c r="O7" s="28" t="s">
        <v>134</v>
      </c>
      <c r="P7" s="31" t="s">
        <v>135</v>
      </c>
      <c r="Q7" s="29" t="n">
        <v>900000</v>
      </c>
      <c r="R7" s="29" t="n">
        <v>1500000</v>
      </c>
      <c r="S7" s="32" t="n">
        <f aca="false">IF(OR($Q7="",$R7="",$R7=0),"",$Q7/$R7)</f>
        <v>0.6</v>
      </c>
      <c r="T7" s="28" t="str">
        <f aca="false">IF($S7="","",IF($S7&gt;=0.5,"PROCEDE BAJA","EVALUAR REPARACION"))</f>
        <v>PROCEDE BAJA</v>
      </c>
      <c r="U7" s="29" t="n">
        <v>0</v>
      </c>
      <c r="V7" s="28" t="s">
        <v>126</v>
      </c>
      <c r="W7" s="28" t="s">
        <v>127</v>
      </c>
      <c r="X7" s="28" t="s">
        <v>128</v>
      </c>
      <c r="Y7" s="28" t="s">
        <v>129</v>
      </c>
      <c r="Z7" s="28"/>
      <c r="AA7" s="28"/>
    </row>
    <row r="8" customFormat="false" ht="15" hidden="false" customHeight="false" outlineLevel="0" collapsed="false">
      <c r="A8" s="33"/>
      <c r="B8" s="33"/>
      <c r="C8" s="33"/>
      <c r="D8" s="33"/>
      <c r="E8" s="33"/>
      <c r="F8" s="33"/>
      <c r="G8" s="33"/>
      <c r="H8" s="33"/>
      <c r="I8" s="33"/>
      <c r="J8" s="34"/>
      <c r="K8" s="34"/>
      <c r="L8" s="35" t="str">
        <f aca="false">IF($J8="","",$J8-IF($K8="",0,$K8))</f>
        <v/>
      </c>
      <c r="M8" s="36"/>
      <c r="N8" s="33"/>
      <c r="O8" s="33"/>
      <c r="P8" s="37"/>
      <c r="Q8" s="34"/>
      <c r="R8" s="34"/>
      <c r="S8" s="38" t="str">
        <f aca="false">IF(OR($Q8="",$R8="",$R8=0),"",$Q8/$R8)</f>
        <v/>
      </c>
      <c r="T8" s="18" t="str">
        <f aca="false">IF($S8="","",IF($S8&gt;=0.5,"PROCEDE BAJA","EVALUAR REPARACION"))</f>
        <v/>
      </c>
      <c r="U8" s="34"/>
      <c r="V8" s="33"/>
      <c r="W8" s="33"/>
      <c r="X8" s="33"/>
      <c r="Y8" s="33"/>
      <c r="Z8" s="33"/>
      <c r="AA8" s="33"/>
    </row>
    <row r="9" customFormat="false" ht="15" hidden="false" customHeight="false" outlineLevel="0" collapsed="false">
      <c r="A9" s="33"/>
      <c r="B9" s="33"/>
      <c r="C9" s="33"/>
      <c r="D9" s="33"/>
      <c r="E9" s="33"/>
      <c r="F9" s="33"/>
      <c r="G9" s="33"/>
      <c r="H9" s="33"/>
      <c r="I9" s="33"/>
      <c r="J9" s="34"/>
      <c r="K9" s="34"/>
      <c r="L9" s="35" t="str">
        <f aca="false">IF($J9="","",$J9-IF($K9="",0,$K9))</f>
        <v/>
      </c>
      <c r="M9" s="36"/>
      <c r="N9" s="33"/>
      <c r="O9" s="33"/>
      <c r="P9" s="37"/>
      <c r="Q9" s="34"/>
      <c r="R9" s="34"/>
      <c r="S9" s="38" t="str">
        <f aca="false">IF(OR($Q9="",$R9="",$R9=0),"",$Q9/$R9)</f>
        <v/>
      </c>
      <c r="T9" s="18" t="str">
        <f aca="false">IF($S9="","",IF($S9&gt;=0.5,"PROCEDE BAJA","EVALUAR REPARACION"))</f>
        <v/>
      </c>
      <c r="U9" s="34"/>
      <c r="V9" s="33"/>
      <c r="W9" s="33"/>
      <c r="X9" s="33"/>
      <c r="Y9" s="33"/>
      <c r="Z9" s="33"/>
      <c r="AA9" s="33"/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3"/>
      <c r="G10" s="33"/>
      <c r="H10" s="33"/>
      <c r="I10" s="33"/>
      <c r="J10" s="34"/>
      <c r="K10" s="34"/>
      <c r="L10" s="35" t="str">
        <f aca="false">IF($J10="","",$J10-IF($K10="",0,$K10))</f>
        <v/>
      </c>
      <c r="M10" s="36"/>
      <c r="N10" s="33"/>
      <c r="O10" s="33"/>
      <c r="P10" s="37"/>
      <c r="Q10" s="34"/>
      <c r="R10" s="34"/>
      <c r="S10" s="38" t="str">
        <f aca="false">IF(OR($Q10="",$R10="",$R10=0),"",$Q10/$R10)</f>
        <v/>
      </c>
      <c r="T10" s="18" t="str">
        <f aca="false">IF($S10="","",IF($S10&gt;=0.5,"PROCEDE BAJA","EVALUAR REPARACION"))</f>
        <v/>
      </c>
      <c r="U10" s="34"/>
      <c r="V10" s="33"/>
      <c r="W10" s="33"/>
      <c r="X10" s="33"/>
      <c r="Y10" s="33"/>
      <c r="Z10" s="33"/>
      <c r="AA10" s="33"/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3"/>
      <c r="G11" s="33"/>
      <c r="H11" s="33"/>
      <c r="I11" s="33"/>
      <c r="J11" s="34"/>
      <c r="K11" s="34"/>
      <c r="L11" s="35" t="str">
        <f aca="false">IF($J11="","",$J11-IF($K11="",0,$K11))</f>
        <v/>
      </c>
      <c r="M11" s="36"/>
      <c r="N11" s="33"/>
      <c r="O11" s="33"/>
      <c r="P11" s="37"/>
      <c r="Q11" s="34"/>
      <c r="R11" s="34"/>
      <c r="S11" s="38" t="str">
        <f aca="false">IF(OR($Q11="",$R11="",$R11=0),"",$Q11/$R11)</f>
        <v/>
      </c>
      <c r="T11" s="18" t="str">
        <f aca="false">IF($S11="","",IF($S11&gt;=0.5,"PROCEDE BAJA","EVALUAR REPARACION"))</f>
        <v/>
      </c>
      <c r="U11" s="34"/>
      <c r="V11" s="33"/>
      <c r="W11" s="33"/>
      <c r="X11" s="33"/>
      <c r="Y11" s="33"/>
      <c r="Z11" s="33"/>
      <c r="AA11" s="33"/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3"/>
      <c r="G12" s="33"/>
      <c r="H12" s="33"/>
      <c r="I12" s="33"/>
      <c r="J12" s="34"/>
      <c r="K12" s="34"/>
      <c r="L12" s="35" t="str">
        <f aca="false">IF($J12="","",$J12-IF($K12="",0,$K12))</f>
        <v/>
      </c>
      <c r="M12" s="36"/>
      <c r="N12" s="33"/>
      <c r="O12" s="33"/>
      <c r="P12" s="37"/>
      <c r="Q12" s="34"/>
      <c r="R12" s="34"/>
      <c r="S12" s="38" t="str">
        <f aca="false">IF(OR($Q12="",$R12="",$R12=0),"",$Q12/$R12)</f>
        <v/>
      </c>
      <c r="T12" s="18" t="str">
        <f aca="false">IF($S12="","",IF($S12&gt;=0.5,"PROCEDE BAJA","EVALUAR REPARACION"))</f>
        <v/>
      </c>
      <c r="U12" s="34"/>
      <c r="V12" s="33"/>
      <c r="W12" s="33"/>
      <c r="X12" s="33"/>
      <c r="Y12" s="33"/>
      <c r="Z12" s="33"/>
      <c r="AA12" s="33"/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3"/>
      <c r="G13" s="33"/>
      <c r="H13" s="33"/>
      <c r="I13" s="33"/>
      <c r="J13" s="34"/>
      <c r="K13" s="34"/>
      <c r="L13" s="35" t="str">
        <f aca="false">IF($J13="","",$J13-IF($K13="",0,$K13))</f>
        <v/>
      </c>
      <c r="M13" s="36"/>
      <c r="N13" s="33"/>
      <c r="O13" s="33"/>
      <c r="P13" s="37"/>
      <c r="Q13" s="34"/>
      <c r="R13" s="34"/>
      <c r="S13" s="38" t="str">
        <f aca="false">IF(OR($Q13="",$R13="",$R13=0),"",$Q13/$R13)</f>
        <v/>
      </c>
      <c r="T13" s="18" t="str">
        <f aca="false">IF($S13="","",IF($S13&gt;=0.5,"PROCEDE BAJA","EVALUAR REPARACION"))</f>
        <v/>
      </c>
      <c r="U13" s="34"/>
      <c r="V13" s="33"/>
      <c r="W13" s="33"/>
      <c r="X13" s="33"/>
      <c r="Y13" s="33"/>
      <c r="Z13" s="33"/>
      <c r="AA13" s="33"/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3"/>
      <c r="G14" s="33"/>
      <c r="H14" s="33"/>
      <c r="I14" s="33"/>
      <c r="J14" s="34"/>
      <c r="K14" s="34"/>
      <c r="L14" s="35" t="str">
        <f aca="false">IF($J14="","",$J14-IF($K14="",0,$K14))</f>
        <v/>
      </c>
      <c r="M14" s="36"/>
      <c r="N14" s="33"/>
      <c r="O14" s="33"/>
      <c r="P14" s="37"/>
      <c r="Q14" s="34"/>
      <c r="R14" s="34"/>
      <c r="S14" s="38" t="str">
        <f aca="false">IF(OR($Q14="",$R14="",$R14=0),"",$Q14/$R14)</f>
        <v/>
      </c>
      <c r="T14" s="18" t="str">
        <f aca="false">IF($S14="","",IF($S14&gt;=0.5,"PROCEDE BAJA","EVALUAR REPARACION"))</f>
        <v/>
      </c>
      <c r="U14" s="34"/>
      <c r="V14" s="33"/>
      <c r="W14" s="33"/>
      <c r="X14" s="33"/>
      <c r="Y14" s="33"/>
      <c r="Z14" s="33"/>
      <c r="AA14" s="33"/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3"/>
      <c r="G15" s="33"/>
      <c r="H15" s="33"/>
      <c r="I15" s="33"/>
      <c r="J15" s="34"/>
      <c r="K15" s="34"/>
      <c r="L15" s="35" t="str">
        <f aca="false">IF($J15="","",$J15-IF($K15="",0,$K15))</f>
        <v/>
      </c>
      <c r="M15" s="36"/>
      <c r="N15" s="33"/>
      <c r="O15" s="33"/>
      <c r="P15" s="37"/>
      <c r="Q15" s="34"/>
      <c r="R15" s="34"/>
      <c r="S15" s="38" t="str">
        <f aca="false">IF(OR($Q15="",$R15="",$R15=0),"",$Q15/$R15)</f>
        <v/>
      </c>
      <c r="T15" s="18" t="str">
        <f aca="false">IF($S15="","",IF($S15&gt;=0.5,"PROCEDE BAJA","EVALUAR REPARACION"))</f>
        <v/>
      </c>
      <c r="U15" s="34"/>
      <c r="V15" s="33"/>
      <c r="W15" s="33"/>
      <c r="X15" s="33"/>
      <c r="Y15" s="33"/>
      <c r="Z15" s="33"/>
      <c r="AA15" s="33"/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3"/>
      <c r="G16" s="33"/>
      <c r="H16" s="33"/>
      <c r="I16" s="33"/>
      <c r="J16" s="34"/>
      <c r="K16" s="34"/>
      <c r="L16" s="35" t="str">
        <f aca="false">IF($J16="","",$J16-IF($K16="",0,$K16))</f>
        <v/>
      </c>
      <c r="M16" s="36"/>
      <c r="N16" s="33"/>
      <c r="O16" s="33"/>
      <c r="P16" s="37"/>
      <c r="Q16" s="34"/>
      <c r="R16" s="34"/>
      <c r="S16" s="38" t="str">
        <f aca="false">IF(OR($Q16="",$R16="",$R16=0),"",$Q16/$R16)</f>
        <v/>
      </c>
      <c r="T16" s="18" t="str">
        <f aca="false">IF($S16="","",IF($S16&gt;=0.5,"PROCEDE BAJA","EVALUAR REPARACION"))</f>
        <v/>
      </c>
      <c r="U16" s="34"/>
      <c r="V16" s="33"/>
      <c r="W16" s="33"/>
      <c r="X16" s="33"/>
      <c r="Y16" s="33"/>
      <c r="Z16" s="33"/>
      <c r="AA16" s="33"/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3"/>
      <c r="G17" s="33"/>
      <c r="H17" s="33"/>
      <c r="I17" s="33"/>
      <c r="J17" s="34"/>
      <c r="K17" s="34"/>
      <c r="L17" s="35" t="str">
        <f aca="false">IF($J17="","",$J17-IF($K17="",0,$K17))</f>
        <v/>
      </c>
      <c r="M17" s="36"/>
      <c r="N17" s="33"/>
      <c r="O17" s="33"/>
      <c r="P17" s="37"/>
      <c r="Q17" s="34"/>
      <c r="R17" s="34"/>
      <c r="S17" s="38" t="str">
        <f aca="false">IF(OR($Q17="",$R17="",$R17=0),"",$Q17/$R17)</f>
        <v/>
      </c>
      <c r="T17" s="18" t="str">
        <f aca="false">IF($S17="","",IF($S17&gt;=0.5,"PROCEDE BAJA","EVALUAR REPARACION"))</f>
        <v/>
      </c>
      <c r="U17" s="34"/>
      <c r="V17" s="33"/>
      <c r="W17" s="33"/>
      <c r="X17" s="33"/>
      <c r="Y17" s="33"/>
      <c r="Z17" s="33"/>
      <c r="AA17" s="33"/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3"/>
      <c r="G18" s="33"/>
      <c r="H18" s="33"/>
      <c r="I18" s="33"/>
      <c r="J18" s="34"/>
      <c r="K18" s="34"/>
      <c r="L18" s="35" t="str">
        <f aca="false">IF($J18="","",$J18-IF($K18="",0,$K18))</f>
        <v/>
      </c>
      <c r="M18" s="36"/>
      <c r="N18" s="33"/>
      <c r="O18" s="33"/>
      <c r="P18" s="37"/>
      <c r="Q18" s="34"/>
      <c r="R18" s="34"/>
      <c r="S18" s="38" t="str">
        <f aca="false">IF(OR($Q18="",$R18="",$R18=0),"",$Q18/$R18)</f>
        <v/>
      </c>
      <c r="T18" s="18" t="str">
        <f aca="false">IF($S18="","",IF($S18&gt;=0.5,"PROCEDE BAJA","EVALUAR REPARACION"))</f>
        <v/>
      </c>
      <c r="U18" s="34"/>
      <c r="V18" s="33"/>
      <c r="W18" s="33"/>
      <c r="X18" s="33"/>
      <c r="Y18" s="33"/>
      <c r="Z18" s="33"/>
      <c r="AA18" s="33"/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3"/>
      <c r="G19" s="33"/>
      <c r="H19" s="33"/>
      <c r="I19" s="33"/>
      <c r="J19" s="34"/>
      <c r="K19" s="34"/>
      <c r="L19" s="35" t="str">
        <f aca="false">IF($J19="","",$J19-IF($K19="",0,$K19))</f>
        <v/>
      </c>
      <c r="M19" s="36"/>
      <c r="N19" s="33"/>
      <c r="O19" s="33"/>
      <c r="P19" s="37"/>
      <c r="Q19" s="34"/>
      <c r="R19" s="34"/>
      <c r="S19" s="38" t="str">
        <f aca="false">IF(OR($Q19="",$R19="",$R19=0),"",$Q19/$R19)</f>
        <v/>
      </c>
      <c r="T19" s="18" t="str">
        <f aca="false">IF($S19="","",IF($S19&gt;=0.5,"PROCEDE BAJA","EVALUAR REPARACION"))</f>
        <v/>
      </c>
      <c r="U19" s="34"/>
      <c r="V19" s="33"/>
      <c r="W19" s="33"/>
      <c r="X19" s="33"/>
      <c r="Y19" s="33"/>
      <c r="Z19" s="33"/>
      <c r="AA19" s="33"/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3"/>
      <c r="G20" s="33"/>
      <c r="H20" s="33"/>
      <c r="I20" s="33"/>
      <c r="J20" s="34"/>
      <c r="K20" s="34"/>
      <c r="L20" s="35" t="str">
        <f aca="false">IF($J20="","",$J20-IF($K20="",0,$K20))</f>
        <v/>
      </c>
      <c r="M20" s="36"/>
      <c r="N20" s="33"/>
      <c r="O20" s="33"/>
      <c r="P20" s="37"/>
      <c r="Q20" s="34"/>
      <c r="R20" s="34"/>
      <c r="S20" s="38" t="str">
        <f aca="false">IF(OR($Q20="",$R20="",$R20=0),"",$Q20/$R20)</f>
        <v/>
      </c>
      <c r="T20" s="18" t="str">
        <f aca="false">IF($S20="","",IF($S20&gt;=0.5,"PROCEDE BAJA","EVALUAR REPARACION"))</f>
        <v/>
      </c>
      <c r="U20" s="34"/>
      <c r="V20" s="33"/>
      <c r="W20" s="33"/>
      <c r="X20" s="33"/>
      <c r="Y20" s="33"/>
      <c r="Z20" s="33"/>
      <c r="AA20" s="33"/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3"/>
      <c r="G21" s="33"/>
      <c r="H21" s="33"/>
      <c r="I21" s="33"/>
      <c r="J21" s="34"/>
      <c r="K21" s="34"/>
      <c r="L21" s="35" t="str">
        <f aca="false">IF($J21="","",$J21-IF($K21="",0,$K21))</f>
        <v/>
      </c>
      <c r="M21" s="36"/>
      <c r="N21" s="33"/>
      <c r="O21" s="33"/>
      <c r="P21" s="37"/>
      <c r="Q21" s="34"/>
      <c r="R21" s="34"/>
      <c r="S21" s="38" t="str">
        <f aca="false">IF(OR($Q21="",$R21="",$R21=0),"",$Q21/$R21)</f>
        <v/>
      </c>
      <c r="T21" s="18" t="str">
        <f aca="false">IF($S21="","",IF($S21&gt;=0.5,"PROCEDE BAJA","EVALUAR REPARACION"))</f>
        <v/>
      </c>
      <c r="U21" s="34"/>
      <c r="V21" s="33"/>
      <c r="W21" s="33"/>
      <c r="X21" s="33"/>
      <c r="Y21" s="33"/>
      <c r="Z21" s="33"/>
      <c r="AA21" s="33"/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3"/>
      <c r="G22" s="33"/>
      <c r="H22" s="33"/>
      <c r="I22" s="33"/>
      <c r="J22" s="34"/>
      <c r="K22" s="34"/>
      <c r="L22" s="35" t="str">
        <f aca="false">IF($J22="","",$J22-IF($K22="",0,$K22))</f>
        <v/>
      </c>
      <c r="M22" s="36"/>
      <c r="N22" s="33"/>
      <c r="O22" s="33"/>
      <c r="P22" s="37"/>
      <c r="Q22" s="34"/>
      <c r="R22" s="34"/>
      <c r="S22" s="38" t="str">
        <f aca="false">IF(OR($Q22="",$R22="",$R22=0),"",$Q22/$R22)</f>
        <v/>
      </c>
      <c r="T22" s="18" t="str">
        <f aca="false">IF($S22="","",IF($S22&gt;=0.5,"PROCEDE BAJA","EVALUAR REPARACION"))</f>
        <v/>
      </c>
      <c r="U22" s="34"/>
      <c r="V22" s="33"/>
      <c r="W22" s="33"/>
      <c r="X22" s="33"/>
      <c r="Y22" s="33"/>
      <c r="Z22" s="33"/>
      <c r="AA22" s="33"/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3"/>
      <c r="G23" s="33"/>
      <c r="H23" s="33"/>
      <c r="I23" s="33"/>
      <c r="J23" s="34"/>
      <c r="K23" s="34"/>
      <c r="L23" s="35" t="str">
        <f aca="false">IF($J23="","",$J23-IF($K23="",0,$K23))</f>
        <v/>
      </c>
      <c r="M23" s="36"/>
      <c r="N23" s="33"/>
      <c r="O23" s="33"/>
      <c r="P23" s="37"/>
      <c r="Q23" s="34"/>
      <c r="R23" s="34"/>
      <c r="S23" s="38" t="str">
        <f aca="false">IF(OR($Q23="",$R23="",$R23=0),"",$Q23/$R23)</f>
        <v/>
      </c>
      <c r="T23" s="18" t="str">
        <f aca="false">IF($S23="","",IF($S23&gt;=0.5,"PROCEDE BAJA","EVALUAR REPARACION"))</f>
        <v/>
      </c>
      <c r="U23" s="34"/>
      <c r="V23" s="33"/>
      <c r="W23" s="33"/>
      <c r="X23" s="33"/>
      <c r="Y23" s="33"/>
      <c r="Z23" s="33"/>
      <c r="AA23" s="33"/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3"/>
      <c r="G24" s="33"/>
      <c r="H24" s="33"/>
      <c r="I24" s="33"/>
      <c r="J24" s="34"/>
      <c r="K24" s="34"/>
      <c r="L24" s="35" t="str">
        <f aca="false">IF($J24="","",$J24-IF($K24="",0,$K24))</f>
        <v/>
      </c>
      <c r="M24" s="36"/>
      <c r="N24" s="33"/>
      <c r="O24" s="33"/>
      <c r="P24" s="37"/>
      <c r="Q24" s="34"/>
      <c r="R24" s="34"/>
      <c r="S24" s="38" t="str">
        <f aca="false">IF(OR($Q24="",$R24="",$R24=0),"",$Q24/$R24)</f>
        <v/>
      </c>
      <c r="T24" s="18" t="str">
        <f aca="false">IF($S24="","",IF($S24&gt;=0.5,"PROCEDE BAJA","EVALUAR REPARACION"))</f>
        <v/>
      </c>
      <c r="U24" s="34"/>
      <c r="V24" s="33"/>
      <c r="W24" s="33"/>
      <c r="X24" s="33"/>
      <c r="Y24" s="33"/>
      <c r="Z24" s="33"/>
      <c r="AA24" s="33"/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3"/>
      <c r="G25" s="33"/>
      <c r="H25" s="33"/>
      <c r="I25" s="33"/>
      <c r="J25" s="34"/>
      <c r="K25" s="34"/>
      <c r="L25" s="35" t="str">
        <f aca="false">IF($J25="","",$J25-IF($K25="",0,$K25))</f>
        <v/>
      </c>
      <c r="M25" s="36"/>
      <c r="N25" s="33"/>
      <c r="O25" s="33"/>
      <c r="P25" s="37"/>
      <c r="Q25" s="34"/>
      <c r="R25" s="34"/>
      <c r="S25" s="38" t="str">
        <f aca="false">IF(OR($Q25="",$R25="",$R25=0),"",$Q25/$R25)</f>
        <v/>
      </c>
      <c r="T25" s="18" t="str">
        <f aca="false">IF($S25="","",IF($S25&gt;=0.5,"PROCEDE BAJA","EVALUAR REPARACION"))</f>
        <v/>
      </c>
      <c r="U25" s="34"/>
      <c r="V25" s="33"/>
      <c r="W25" s="33"/>
      <c r="X25" s="33"/>
      <c r="Y25" s="33"/>
      <c r="Z25" s="33"/>
      <c r="AA25" s="33"/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3"/>
      <c r="G26" s="33"/>
      <c r="H26" s="33"/>
      <c r="I26" s="33"/>
      <c r="J26" s="34"/>
      <c r="K26" s="34"/>
      <c r="L26" s="35" t="str">
        <f aca="false">IF($J26="","",$J26-IF($K26="",0,$K26))</f>
        <v/>
      </c>
      <c r="M26" s="36"/>
      <c r="N26" s="33"/>
      <c r="O26" s="33"/>
      <c r="P26" s="37"/>
      <c r="Q26" s="34"/>
      <c r="R26" s="34"/>
      <c r="S26" s="38" t="str">
        <f aca="false">IF(OR($Q26="",$R26="",$R26=0),"",$Q26/$R26)</f>
        <v/>
      </c>
      <c r="T26" s="18" t="str">
        <f aca="false">IF($S26="","",IF($S26&gt;=0.5,"PROCEDE BAJA","EVALUAR REPARACION"))</f>
        <v/>
      </c>
      <c r="U26" s="34"/>
      <c r="V26" s="33"/>
      <c r="W26" s="33"/>
      <c r="X26" s="33"/>
      <c r="Y26" s="33"/>
      <c r="Z26" s="33"/>
      <c r="AA26" s="33"/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3"/>
      <c r="G27" s="33"/>
      <c r="H27" s="33"/>
      <c r="I27" s="33"/>
      <c r="J27" s="34"/>
      <c r="K27" s="34"/>
      <c r="L27" s="35" t="str">
        <f aca="false">IF($J27="","",$J27-IF($K27="",0,$K27))</f>
        <v/>
      </c>
      <c r="M27" s="36"/>
      <c r="N27" s="33"/>
      <c r="O27" s="33"/>
      <c r="P27" s="37"/>
      <c r="Q27" s="34"/>
      <c r="R27" s="34"/>
      <c r="S27" s="38" t="str">
        <f aca="false">IF(OR($Q27="",$R27="",$R27=0),"",$Q27/$R27)</f>
        <v/>
      </c>
      <c r="T27" s="18" t="str">
        <f aca="false">IF($S27="","",IF($S27&gt;=0.5,"PROCEDE BAJA","EVALUAR REPARACION"))</f>
        <v/>
      </c>
      <c r="U27" s="34"/>
      <c r="V27" s="33"/>
      <c r="W27" s="33"/>
      <c r="X27" s="33"/>
      <c r="Y27" s="33"/>
      <c r="Z27" s="33"/>
      <c r="AA27" s="33"/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3"/>
      <c r="G28" s="33"/>
      <c r="H28" s="33"/>
      <c r="I28" s="33"/>
      <c r="J28" s="34"/>
      <c r="K28" s="34"/>
      <c r="L28" s="35" t="str">
        <f aca="false">IF($J28="","",$J28-IF($K28="",0,$K28))</f>
        <v/>
      </c>
      <c r="M28" s="36"/>
      <c r="N28" s="33"/>
      <c r="O28" s="33"/>
      <c r="P28" s="37"/>
      <c r="Q28" s="34"/>
      <c r="R28" s="34"/>
      <c r="S28" s="38" t="str">
        <f aca="false">IF(OR($Q28="",$R28="",$R28=0),"",$Q28/$R28)</f>
        <v/>
      </c>
      <c r="T28" s="18" t="str">
        <f aca="false">IF($S28="","",IF($S28&gt;=0.5,"PROCEDE BAJA","EVALUAR REPARACION"))</f>
        <v/>
      </c>
      <c r="U28" s="34"/>
      <c r="V28" s="33"/>
      <c r="W28" s="33"/>
      <c r="X28" s="33"/>
      <c r="Y28" s="33"/>
      <c r="Z28" s="33"/>
      <c r="AA28" s="33"/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3"/>
      <c r="G29" s="33"/>
      <c r="H29" s="33"/>
      <c r="I29" s="33"/>
      <c r="J29" s="34"/>
      <c r="K29" s="34"/>
      <c r="L29" s="35" t="str">
        <f aca="false">IF($J29="","",$J29-IF($K29="",0,$K29))</f>
        <v/>
      </c>
      <c r="M29" s="36"/>
      <c r="N29" s="33"/>
      <c r="O29" s="33"/>
      <c r="P29" s="37"/>
      <c r="Q29" s="34"/>
      <c r="R29" s="34"/>
      <c r="S29" s="38" t="str">
        <f aca="false">IF(OR($Q29="",$R29="",$R29=0),"",$Q29/$R29)</f>
        <v/>
      </c>
      <c r="T29" s="18" t="str">
        <f aca="false">IF($S29="","",IF($S29&gt;=0.5,"PROCEDE BAJA","EVALUAR REPARACION"))</f>
        <v/>
      </c>
      <c r="U29" s="34"/>
      <c r="V29" s="33"/>
      <c r="W29" s="33"/>
      <c r="X29" s="33"/>
      <c r="Y29" s="33"/>
      <c r="Z29" s="33"/>
      <c r="AA29" s="33"/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3"/>
      <c r="G30" s="33"/>
      <c r="H30" s="33"/>
      <c r="I30" s="33"/>
      <c r="J30" s="34"/>
      <c r="K30" s="34"/>
      <c r="L30" s="35" t="str">
        <f aca="false">IF($J30="","",$J30-IF($K30="",0,$K30))</f>
        <v/>
      </c>
      <c r="M30" s="36"/>
      <c r="N30" s="33"/>
      <c r="O30" s="33"/>
      <c r="P30" s="37"/>
      <c r="Q30" s="34"/>
      <c r="R30" s="34"/>
      <c r="S30" s="38" t="str">
        <f aca="false">IF(OR($Q30="",$R30="",$R30=0),"",$Q30/$R30)</f>
        <v/>
      </c>
      <c r="T30" s="18" t="str">
        <f aca="false">IF($S30="","",IF($S30&gt;=0.5,"PROCEDE BAJA","EVALUAR REPARACION"))</f>
        <v/>
      </c>
      <c r="U30" s="34"/>
      <c r="V30" s="33"/>
      <c r="W30" s="33"/>
      <c r="X30" s="33"/>
      <c r="Y30" s="33"/>
      <c r="Z30" s="33"/>
      <c r="AA30" s="33"/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3"/>
      <c r="G31" s="33"/>
      <c r="H31" s="33"/>
      <c r="I31" s="33"/>
      <c r="J31" s="34"/>
      <c r="K31" s="34"/>
      <c r="L31" s="35" t="str">
        <f aca="false">IF($J31="","",$J31-IF($K31="",0,$K31))</f>
        <v/>
      </c>
      <c r="M31" s="36"/>
      <c r="N31" s="33"/>
      <c r="O31" s="33"/>
      <c r="P31" s="37"/>
      <c r="Q31" s="34"/>
      <c r="R31" s="34"/>
      <c r="S31" s="38" t="str">
        <f aca="false">IF(OR($Q31="",$R31="",$R31=0),"",$Q31/$R31)</f>
        <v/>
      </c>
      <c r="T31" s="18" t="str">
        <f aca="false">IF($S31="","",IF($S31&gt;=0.5,"PROCEDE BAJA","EVALUAR REPARACION"))</f>
        <v/>
      </c>
      <c r="U31" s="34"/>
      <c r="V31" s="33"/>
      <c r="W31" s="33"/>
      <c r="X31" s="33"/>
      <c r="Y31" s="33"/>
      <c r="Z31" s="33"/>
      <c r="AA31" s="33"/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3"/>
      <c r="G32" s="33"/>
      <c r="H32" s="33"/>
      <c r="I32" s="33"/>
      <c r="J32" s="34"/>
      <c r="K32" s="34"/>
      <c r="L32" s="35" t="str">
        <f aca="false">IF($J32="","",$J32-IF($K32="",0,$K32))</f>
        <v/>
      </c>
      <c r="M32" s="36"/>
      <c r="N32" s="33"/>
      <c r="O32" s="33"/>
      <c r="P32" s="37"/>
      <c r="Q32" s="34"/>
      <c r="R32" s="34"/>
      <c r="S32" s="38" t="str">
        <f aca="false">IF(OR($Q32="",$R32="",$R32=0),"",$Q32/$R32)</f>
        <v/>
      </c>
      <c r="T32" s="18" t="str">
        <f aca="false">IF($S32="","",IF($S32&gt;=0.5,"PROCEDE BAJA","EVALUAR REPARACION"))</f>
        <v/>
      </c>
      <c r="U32" s="34"/>
      <c r="V32" s="33"/>
      <c r="W32" s="33"/>
      <c r="X32" s="33"/>
      <c r="Y32" s="33"/>
      <c r="Z32" s="33"/>
      <c r="AA32" s="33"/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3"/>
      <c r="G33" s="33"/>
      <c r="H33" s="33"/>
      <c r="I33" s="33"/>
      <c r="J33" s="34"/>
      <c r="K33" s="34"/>
      <c r="L33" s="35" t="str">
        <f aca="false">IF($J33="","",$J33-IF($K33="",0,$K33))</f>
        <v/>
      </c>
      <c r="M33" s="36"/>
      <c r="N33" s="33"/>
      <c r="O33" s="33"/>
      <c r="P33" s="37"/>
      <c r="Q33" s="34"/>
      <c r="R33" s="34"/>
      <c r="S33" s="38" t="str">
        <f aca="false">IF(OR($Q33="",$R33="",$R33=0),"",$Q33/$R33)</f>
        <v/>
      </c>
      <c r="T33" s="18" t="str">
        <f aca="false">IF($S33="","",IF($S33&gt;=0.5,"PROCEDE BAJA","EVALUAR REPARACION"))</f>
        <v/>
      </c>
      <c r="U33" s="34"/>
      <c r="V33" s="33"/>
      <c r="W33" s="33"/>
      <c r="X33" s="33"/>
      <c r="Y33" s="33"/>
      <c r="Z33" s="33"/>
      <c r="AA33" s="33"/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3"/>
      <c r="G34" s="33"/>
      <c r="H34" s="33"/>
      <c r="I34" s="33"/>
      <c r="J34" s="34"/>
      <c r="K34" s="34"/>
      <c r="L34" s="35" t="str">
        <f aca="false">IF($J34="","",$J34-IF($K34="",0,$K34))</f>
        <v/>
      </c>
      <c r="M34" s="36"/>
      <c r="N34" s="33"/>
      <c r="O34" s="33"/>
      <c r="P34" s="37"/>
      <c r="Q34" s="34"/>
      <c r="R34" s="34"/>
      <c r="S34" s="38" t="str">
        <f aca="false">IF(OR($Q34="",$R34="",$R34=0),"",$Q34/$R34)</f>
        <v/>
      </c>
      <c r="T34" s="18" t="str">
        <f aca="false">IF($S34="","",IF($S34&gt;=0.5,"PROCEDE BAJA","EVALUAR REPARACION"))</f>
        <v/>
      </c>
      <c r="U34" s="34"/>
      <c r="V34" s="33"/>
      <c r="W34" s="33"/>
      <c r="X34" s="33"/>
      <c r="Y34" s="33"/>
      <c r="Z34" s="33"/>
      <c r="AA34" s="33"/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3"/>
      <c r="G35" s="33"/>
      <c r="H35" s="33"/>
      <c r="I35" s="33"/>
      <c r="J35" s="34"/>
      <c r="K35" s="34"/>
      <c r="L35" s="35" t="str">
        <f aca="false">IF($J35="","",$J35-IF($K35="",0,$K35))</f>
        <v/>
      </c>
      <c r="M35" s="36"/>
      <c r="N35" s="33"/>
      <c r="O35" s="33"/>
      <c r="P35" s="37"/>
      <c r="Q35" s="34"/>
      <c r="R35" s="34"/>
      <c r="S35" s="38" t="str">
        <f aca="false">IF(OR($Q35="",$R35="",$R35=0),"",$Q35/$R35)</f>
        <v/>
      </c>
      <c r="T35" s="18" t="str">
        <f aca="false">IF($S35="","",IF($S35&gt;=0.5,"PROCEDE BAJA","EVALUAR REPARACION"))</f>
        <v/>
      </c>
      <c r="U35" s="34"/>
      <c r="V35" s="33"/>
      <c r="W35" s="33"/>
      <c r="X35" s="33"/>
      <c r="Y35" s="33"/>
      <c r="Z35" s="33"/>
      <c r="AA35" s="33"/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3"/>
      <c r="G36" s="33"/>
      <c r="H36" s="33"/>
      <c r="I36" s="33"/>
      <c r="J36" s="34"/>
      <c r="K36" s="34"/>
      <c r="L36" s="35" t="str">
        <f aca="false">IF($J36="","",$J36-IF($K36="",0,$K36))</f>
        <v/>
      </c>
      <c r="M36" s="36"/>
      <c r="N36" s="33"/>
      <c r="O36" s="33"/>
      <c r="P36" s="37"/>
      <c r="Q36" s="34"/>
      <c r="R36" s="34"/>
      <c r="S36" s="38" t="str">
        <f aca="false">IF(OR($Q36="",$R36="",$R36=0),"",$Q36/$R36)</f>
        <v/>
      </c>
      <c r="T36" s="18" t="str">
        <f aca="false">IF($S36="","",IF($S36&gt;=0.5,"PROCEDE BAJA","EVALUAR REPARACION"))</f>
        <v/>
      </c>
      <c r="U36" s="34"/>
      <c r="V36" s="33"/>
      <c r="W36" s="33"/>
      <c r="X36" s="33"/>
      <c r="Y36" s="33"/>
      <c r="Z36" s="33"/>
      <c r="AA36" s="33"/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3"/>
      <c r="G37" s="33"/>
      <c r="H37" s="33"/>
      <c r="I37" s="33"/>
      <c r="J37" s="34"/>
      <c r="K37" s="34"/>
      <c r="L37" s="35" t="str">
        <f aca="false">IF($J37="","",$J37-IF($K37="",0,$K37))</f>
        <v/>
      </c>
      <c r="M37" s="36"/>
      <c r="N37" s="33"/>
      <c r="O37" s="33"/>
      <c r="P37" s="37"/>
      <c r="Q37" s="34"/>
      <c r="R37" s="34"/>
      <c r="S37" s="38" t="str">
        <f aca="false">IF(OR($Q37="",$R37="",$R37=0),"",$Q37/$R37)</f>
        <v/>
      </c>
      <c r="T37" s="18" t="str">
        <f aca="false">IF($S37="","",IF($S37&gt;=0.5,"PROCEDE BAJA","EVALUAR REPARACION"))</f>
        <v/>
      </c>
      <c r="U37" s="34"/>
      <c r="V37" s="33"/>
      <c r="W37" s="33"/>
      <c r="X37" s="33"/>
      <c r="Y37" s="33"/>
      <c r="Z37" s="33"/>
      <c r="AA37" s="33"/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3"/>
      <c r="G38" s="33"/>
      <c r="H38" s="33"/>
      <c r="I38" s="33"/>
      <c r="J38" s="34"/>
      <c r="K38" s="34"/>
      <c r="L38" s="35" t="str">
        <f aca="false">IF($J38="","",$J38-IF($K38="",0,$K38))</f>
        <v/>
      </c>
      <c r="M38" s="36"/>
      <c r="N38" s="33"/>
      <c r="O38" s="33"/>
      <c r="P38" s="37"/>
      <c r="Q38" s="34"/>
      <c r="R38" s="34"/>
      <c r="S38" s="38" t="str">
        <f aca="false">IF(OR($Q38="",$R38="",$R38=0),"",$Q38/$R38)</f>
        <v/>
      </c>
      <c r="T38" s="18" t="str">
        <f aca="false">IF($S38="","",IF($S38&gt;=0.5,"PROCEDE BAJA","EVALUAR REPARACION"))</f>
        <v/>
      </c>
      <c r="U38" s="34"/>
      <c r="V38" s="33"/>
      <c r="W38" s="33"/>
      <c r="X38" s="33"/>
      <c r="Y38" s="33"/>
      <c r="Z38" s="33"/>
      <c r="AA38" s="33"/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3"/>
      <c r="G39" s="33"/>
      <c r="H39" s="33"/>
      <c r="I39" s="33"/>
      <c r="J39" s="34"/>
      <c r="K39" s="34"/>
      <c r="L39" s="35" t="str">
        <f aca="false">IF($J39="","",$J39-IF($K39="",0,$K39))</f>
        <v/>
      </c>
      <c r="M39" s="36"/>
      <c r="N39" s="33"/>
      <c r="O39" s="33"/>
      <c r="P39" s="37"/>
      <c r="Q39" s="34"/>
      <c r="R39" s="34"/>
      <c r="S39" s="38" t="str">
        <f aca="false">IF(OR($Q39="",$R39="",$R39=0),"",$Q39/$R39)</f>
        <v/>
      </c>
      <c r="T39" s="18" t="str">
        <f aca="false">IF($S39="","",IF($S39&gt;=0.5,"PROCEDE BAJA","EVALUAR REPARACION"))</f>
        <v/>
      </c>
      <c r="U39" s="34"/>
      <c r="V39" s="33"/>
      <c r="W39" s="33"/>
      <c r="X39" s="33"/>
      <c r="Y39" s="33"/>
      <c r="Z39" s="33"/>
      <c r="AA39" s="33"/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3"/>
      <c r="G40" s="33"/>
      <c r="H40" s="33"/>
      <c r="I40" s="33"/>
      <c r="J40" s="34"/>
      <c r="K40" s="34"/>
      <c r="L40" s="35" t="str">
        <f aca="false">IF($J40="","",$J40-IF($K40="",0,$K40))</f>
        <v/>
      </c>
      <c r="M40" s="36"/>
      <c r="N40" s="33"/>
      <c r="O40" s="33"/>
      <c r="P40" s="37"/>
      <c r="Q40" s="34"/>
      <c r="R40" s="34"/>
      <c r="S40" s="38" t="str">
        <f aca="false">IF(OR($Q40="",$R40="",$R40=0),"",$Q40/$R40)</f>
        <v/>
      </c>
      <c r="T40" s="18" t="str">
        <f aca="false">IF($S40="","",IF($S40&gt;=0.5,"PROCEDE BAJA","EVALUAR REPARACION"))</f>
        <v/>
      </c>
      <c r="U40" s="34"/>
      <c r="V40" s="33"/>
      <c r="W40" s="33"/>
      <c r="X40" s="33"/>
      <c r="Y40" s="33"/>
      <c r="Z40" s="33"/>
      <c r="AA40" s="33"/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3"/>
      <c r="G41" s="33"/>
      <c r="H41" s="33"/>
      <c r="I41" s="33"/>
      <c r="J41" s="34"/>
      <c r="K41" s="34"/>
      <c r="L41" s="35" t="str">
        <f aca="false">IF($J41="","",$J41-IF($K41="",0,$K41))</f>
        <v/>
      </c>
      <c r="M41" s="36"/>
      <c r="N41" s="33"/>
      <c r="O41" s="33"/>
      <c r="P41" s="37"/>
      <c r="Q41" s="34"/>
      <c r="R41" s="34"/>
      <c r="S41" s="38" t="str">
        <f aca="false">IF(OR($Q41="",$R41="",$R41=0),"",$Q41/$R41)</f>
        <v/>
      </c>
      <c r="T41" s="18" t="str">
        <f aca="false">IF($S41="","",IF($S41&gt;=0.5,"PROCEDE BAJA","EVALUAR REPARACION"))</f>
        <v/>
      </c>
      <c r="U41" s="34"/>
      <c r="V41" s="33"/>
      <c r="W41" s="33"/>
      <c r="X41" s="33"/>
      <c r="Y41" s="33"/>
      <c r="Z41" s="33"/>
      <c r="AA41" s="33"/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3"/>
      <c r="G42" s="33"/>
      <c r="H42" s="33"/>
      <c r="I42" s="33"/>
      <c r="J42" s="34"/>
      <c r="K42" s="34"/>
      <c r="L42" s="35" t="str">
        <f aca="false">IF($J42="","",$J42-IF($K42="",0,$K42))</f>
        <v/>
      </c>
      <c r="M42" s="36"/>
      <c r="N42" s="33"/>
      <c r="O42" s="33"/>
      <c r="P42" s="37"/>
      <c r="Q42" s="34"/>
      <c r="R42" s="34"/>
      <c r="S42" s="38" t="str">
        <f aca="false">IF(OR($Q42="",$R42="",$R42=0),"",$Q42/$R42)</f>
        <v/>
      </c>
      <c r="T42" s="18" t="str">
        <f aca="false">IF($S42="","",IF($S42&gt;=0.5,"PROCEDE BAJA","EVALUAR REPARACION"))</f>
        <v/>
      </c>
      <c r="U42" s="34"/>
      <c r="V42" s="33"/>
      <c r="W42" s="33"/>
      <c r="X42" s="33"/>
      <c r="Y42" s="33"/>
      <c r="Z42" s="33"/>
      <c r="AA42" s="33"/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3"/>
      <c r="G43" s="33"/>
      <c r="H43" s="33"/>
      <c r="I43" s="33"/>
      <c r="J43" s="34"/>
      <c r="K43" s="34"/>
      <c r="L43" s="35" t="str">
        <f aca="false">IF($J43="","",$J43-IF($K43="",0,$K43))</f>
        <v/>
      </c>
      <c r="M43" s="36"/>
      <c r="N43" s="33"/>
      <c r="O43" s="33"/>
      <c r="P43" s="37"/>
      <c r="Q43" s="34"/>
      <c r="R43" s="34"/>
      <c r="S43" s="38" t="str">
        <f aca="false">IF(OR($Q43="",$R43="",$R43=0),"",$Q43/$R43)</f>
        <v/>
      </c>
      <c r="T43" s="18" t="str">
        <f aca="false">IF($S43="","",IF($S43&gt;=0.5,"PROCEDE BAJA","EVALUAR REPARACION"))</f>
        <v/>
      </c>
      <c r="U43" s="34"/>
      <c r="V43" s="33"/>
      <c r="W43" s="33"/>
      <c r="X43" s="33"/>
      <c r="Y43" s="33"/>
      <c r="Z43" s="33"/>
      <c r="AA43" s="33"/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3"/>
      <c r="G44" s="33"/>
      <c r="H44" s="33"/>
      <c r="I44" s="33"/>
      <c r="J44" s="34"/>
      <c r="K44" s="34"/>
      <c r="L44" s="35" t="str">
        <f aca="false">IF($J44="","",$J44-IF($K44="",0,$K44))</f>
        <v/>
      </c>
      <c r="M44" s="36"/>
      <c r="N44" s="33"/>
      <c r="O44" s="33"/>
      <c r="P44" s="37"/>
      <c r="Q44" s="34"/>
      <c r="R44" s="34"/>
      <c r="S44" s="38" t="str">
        <f aca="false">IF(OR($Q44="",$R44="",$R44=0),"",$Q44/$R44)</f>
        <v/>
      </c>
      <c r="T44" s="18" t="str">
        <f aca="false">IF($S44="","",IF($S44&gt;=0.5,"PROCEDE BAJA","EVALUAR REPARACION"))</f>
        <v/>
      </c>
      <c r="U44" s="34"/>
      <c r="V44" s="33"/>
      <c r="W44" s="33"/>
      <c r="X44" s="33"/>
      <c r="Y44" s="33"/>
      <c r="Z44" s="33"/>
      <c r="AA44" s="33"/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33"/>
      <c r="G45" s="33"/>
      <c r="H45" s="33"/>
      <c r="I45" s="33"/>
      <c r="J45" s="34"/>
      <c r="K45" s="34"/>
      <c r="L45" s="35" t="str">
        <f aca="false">IF($J45="","",$J45-IF($K45="",0,$K45))</f>
        <v/>
      </c>
      <c r="M45" s="36"/>
      <c r="N45" s="33"/>
      <c r="O45" s="33"/>
      <c r="P45" s="37"/>
      <c r="Q45" s="34"/>
      <c r="R45" s="34"/>
      <c r="S45" s="38" t="str">
        <f aca="false">IF(OR($Q45="",$R45="",$R45=0),"",$Q45/$R45)</f>
        <v/>
      </c>
      <c r="T45" s="18" t="str">
        <f aca="false">IF($S45="","",IF($S45&gt;=0.5,"PROCEDE BAJA","EVALUAR REPARACION"))</f>
        <v/>
      </c>
      <c r="U45" s="34"/>
      <c r="V45" s="33"/>
      <c r="W45" s="33"/>
      <c r="X45" s="33"/>
      <c r="Y45" s="33"/>
      <c r="Z45" s="33"/>
      <c r="AA45" s="33"/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3"/>
      <c r="G46" s="33"/>
      <c r="H46" s="33"/>
      <c r="I46" s="33"/>
      <c r="J46" s="34"/>
      <c r="K46" s="34"/>
      <c r="L46" s="35" t="str">
        <f aca="false">IF($J46="","",$J46-IF($K46="",0,$K46))</f>
        <v/>
      </c>
      <c r="M46" s="36"/>
      <c r="N46" s="33"/>
      <c r="O46" s="33"/>
      <c r="P46" s="37"/>
      <c r="Q46" s="34"/>
      <c r="R46" s="34"/>
      <c r="S46" s="38" t="str">
        <f aca="false">IF(OR($Q46="",$R46="",$R46=0),"",$Q46/$R46)</f>
        <v/>
      </c>
      <c r="T46" s="18" t="str">
        <f aca="false">IF($S46="","",IF($S46&gt;=0.5,"PROCEDE BAJA","EVALUAR REPARACION"))</f>
        <v/>
      </c>
      <c r="U46" s="34"/>
      <c r="V46" s="33"/>
      <c r="W46" s="33"/>
      <c r="X46" s="33"/>
      <c r="Y46" s="33"/>
      <c r="Z46" s="33"/>
      <c r="AA46" s="33"/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3"/>
      <c r="G47" s="33"/>
      <c r="H47" s="33"/>
      <c r="I47" s="33"/>
      <c r="J47" s="34"/>
      <c r="K47" s="34"/>
      <c r="L47" s="35" t="str">
        <f aca="false">IF($J47="","",$J47-IF($K47="",0,$K47))</f>
        <v/>
      </c>
      <c r="M47" s="36"/>
      <c r="N47" s="33"/>
      <c r="O47" s="33"/>
      <c r="P47" s="37"/>
      <c r="Q47" s="34"/>
      <c r="R47" s="34"/>
      <c r="S47" s="38" t="str">
        <f aca="false">IF(OR($Q47="",$R47="",$R47=0),"",$Q47/$R47)</f>
        <v/>
      </c>
      <c r="T47" s="18" t="str">
        <f aca="false">IF($S47="","",IF($S47&gt;=0.5,"PROCEDE BAJA","EVALUAR REPARACION"))</f>
        <v/>
      </c>
      <c r="U47" s="34"/>
      <c r="V47" s="33"/>
      <c r="W47" s="33"/>
      <c r="X47" s="33"/>
      <c r="Y47" s="33"/>
      <c r="Z47" s="33"/>
      <c r="AA47" s="33"/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3"/>
      <c r="G48" s="33"/>
      <c r="H48" s="33"/>
      <c r="I48" s="33"/>
      <c r="J48" s="34"/>
      <c r="K48" s="34"/>
      <c r="L48" s="35" t="str">
        <f aca="false">IF($J48="","",$J48-IF($K48="",0,$K48))</f>
        <v/>
      </c>
      <c r="M48" s="36"/>
      <c r="N48" s="33"/>
      <c r="O48" s="33"/>
      <c r="P48" s="37"/>
      <c r="Q48" s="34"/>
      <c r="R48" s="34"/>
      <c r="S48" s="38" t="str">
        <f aca="false">IF(OR($Q48="",$R48="",$R48=0),"",$Q48/$R48)</f>
        <v/>
      </c>
      <c r="T48" s="18" t="str">
        <f aca="false">IF($S48="","",IF($S48&gt;=0.5,"PROCEDE BAJA","EVALUAR REPARACION"))</f>
        <v/>
      </c>
      <c r="U48" s="34"/>
      <c r="V48" s="33"/>
      <c r="W48" s="33"/>
      <c r="X48" s="33"/>
      <c r="Y48" s="33"/>
      <c r="Z48" s="33"/>
      <c r="AA48" s="33"/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33"/>
      <c r="G49" s="33"/>
      <c r="H49" s="33"/>
      <c r="I49" s="33"/>
      <c r="J49" s="34"/>
      <c r="K49" s="34"/>
      <c r="L49" s="35" t="str">
        <f aca="false">IF($J49="","",$J49-IF($K49="",0,$K49))</f>
        <v/>
      </c>
      <c r="M49" s="36"/>
      <c r="N49" s="33"/>
      <c r="O49" s="33"/>
      <c r="P49" s="37"/>
      <c r="Q49" s="34"/>
      <c r="R49" s="34"/>
      <c r="S49" s="38" t="str">
        <f aca="false">IF(OR($Q49="",$R49="",$R49=0),"",$Q49/$R49)</f>
        <v/>
      </c>
      <c r="T49" s="18" t="str">
        <f aca="false">IF($S49="","",IF($S49&gt;=0.5,"PROCEDE BAJA","EVALUAR REPARACION"))</f>
        <v/>
      </c>
      <c r="U49" s="34"/>
      <c r="V49" s="33"/>
      <c r="W49" s="33"/>
      <c r="X49" s="33"/>
      <c r="Y49" s="33"/>
      <c r="Z49" s="33"/>
      <c r="AA49" s="33"/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3"/>
      <c r="G50" s="33"/>
      <c r="H50" s="33"/>
      <c r="I50" s="33"/>
      <c r="J50" s="34"/>
      <c r="K50" s="34"/>
      <c r="L50" s="35" t="str">
        <f aca="false">IF($J50="","",$J50-IF($K50="",0,$K50))</f>
        <v/>
      </c>
      <c r="M50" s="36"/>
      <c r="N50" s="33"/>
      <c r="O50" s="33"/>
      <c r="P50" s="37"/>
      <c r="Q50" s="34"/>
      <c r="R50" s="34"/>
      <c r="S50" s="38" t="str">
        <f aca="false">IF(OR($Q50="",$R50="",$R50=0),"",$Q50/$R50)</f>
        <v/>
      </c>
      <c r="T50" s="18" t="str">
        <f aca="false">IF($S50="","",IF($S50&gt;=0.5,"PROCEDE BAJA","EVALUAR REPARACION"))</f>
        <v/>
      </c>
      <c r="U50" s="34"/>
      <c r="V50" s="33"/>
      <c r="W50" s="33"/>
      <c r="X50" s="33"/>
      <c r="Y50" s="33"/>
      <c r="Z50" s="33"/>
      <c r="AA50" s="33"/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33"/>
      <c r="G51" s="33"/>
      <c r="H51" s="33"/>
      <c r="I51" s="33"/>
      <c r="J51" s="34"/>
      <c r="K51" s="34"/>
      <c r="L51" s="35" t="str">
        <f aca="false">IF($J51="","",$J51-IF($K51="",0,$K51))</f>
        <v/>
      </c>
      <c r="M51" s="36"/>
      <c r="N51" s="33"/>
      <c r="O51" s="33"/>
      <c r="P51" s="37"/>
      <c r="Q51" s="34"/>
      <c r="R51" s="34"/>
      <c r="S51" s="38" t="str">
        <f aca="false">IF(OR($Q51="",$R51="",$R51=0),"",$Q51/$R51)</f>
        <v/>
      </c>
      <c r="T51" s="18" t="str">
        <f aca="false">IF($S51="","",IF($S51&gt;=0.5,"PROCEDE BAJA","EVALUAR REPARACION"))</f>
        <v/>
      </c>
      <c r="U51" s="34"/>
      <c r="V51" s="33"/>
      <c r="W51" s="33"/>
      <c r="X51" s="33"/>
      <c r="Y51" s="33"/>
      <c r="Z51" s="33"/>
      <c r="AA51" s="33"/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33"/>
      <c r="G52" s="33"/>
      <c r="H52" s="33"/>
      <c r="I52" s="33"/>
      <c r="J52" s="34"/>
      <c r="K52" s="34"/>
      <c r="L52" s="35" t="str">
        <f aca="false">IF($J52="","",$J52-IF($K52="",0,$K52))</f>
        <v/>
      </c>
      <c r="M52" s="36"/>
      <c r="N52" s="33"/>
      <c r="O52" s="33"/>
      <c r="P52" s="37"/>
      <c r="Q52" s="34"/>
      <c r="R52" s="34"/>
      <c r="S52" s="38" t="str">
        <f aca="false">IF(OR($Q52="",$R52="",$R52=0),"",$Q52/$R52)</f>
        <v/>
      </c>
      <c r="T52" s="18" t="str">
        <f aca="false">IF($S52="","",IF($S52&gt;=0.5,"PROCEDE BAJA","EVALUAR REPARACION"))</f>
        <v/>
      </c>
      <c r="U52" s="34"/>
      <c r="V52" s="33"/>
      <c r="W52" s="33"/>
      <c r="X52" s="33"/>
      <c r="Y52" s="33"/>
      <c r="Z52" s="33"/>
      <c r="AA52" s="33"/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33"/>
      <c r="G53" s="33"/>
      <c r="H53" s="33"/>
      <c r="I53" s="33"/>
      <c r="J53" s="34"/>
      <c r="K53" s="34"/>
      <c r="L53" s="35" t="str">
        <f aca="false">IF($J53="","",$J53-IF($K53="",0,$K53))</f>
        <v/>
      </c>
      <c r="M53" s="36"/>
      <c r="N53" s="33"/>
      <c r="O53" s="33"/>
      <c r="P53" s="37"/>
      <c r="Q53" s="34"/>
      <c r="R53" s="34"/>
      <c r="S53" s="38" t="str">
        <f aca="false">IF(OR($Q53="",$R53="",$R53=0),"",$Q53/$R53)</f>
        <v/>
      </c>
      <c r="T53" s="18" t="str">
        <f aca="false">IF($S53="","",IF($S53&gt;=0.5,"PROCEDE BAJA","EVALUAR REPARACION"))</f>
        <v/>
      </c>
      <c r="U53" s="34"/>
      <c r="V53" s="33"/>
      <c r="W53" s="33"/>
      <c r="X53" s="33"/>
      <c r="Y53" s="33"/>
      <c r="Z53" s="33"/>
      <c r="AA53" s="33"/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33"/>
      <c r="G54" s="33"/>
      <c r="H54" s="33"/>
      <c r="I54" s="33"/>
      <c r="J54" s="34"/>
      <c r="K54" s="34"/>
      <c r="L54" s="35" t="str">
        <f aca="false">IF($J54="","",$J54-IF($K54="",0,$K54))</f>
        <v/>
      </c>
      <c r="M54" s="36"/>
      <c r="N54" s="33"/>
      <c r="O54" s="33"/>
      <c r="P54" s="37"/>
      <c r="Q54" s="34"/>
      <c r="R54" s="34"/>
      <c r="S54" s="38" t="str">
        <f aca="false">IF(OR($Q54="",$R54="",$R54=0),"",$Q54/$R54)</f>
        <v/>
      </c>
      <c r="T54" s="18" t="str">
        <f aca="false">IF($S54="","",IF($S54&gt;=0.5,"PROCEDE BAJA","EVALUAR REPARACION"))</f>
        <v/>
      </c>
      <c r="U54" s="34"/>
      <c r="V54" s="33"/>
      <c r="W54" s="33"/>
      <c r="X54" s="33"/>
      <c r="Y54" s="33"/>
      <c r="Z54" s="33"/>
      <c r="AA54" s="33"/>
    </row>
    <row r="55" customFormat="false" ht="15" hidden="false" customHeight="false" outlineLevel="0" collapsed="false">
      <c r="A55" s="33"/>
      <c r="B55" s="33"/>
      <c r="C55" s="33"/>
      <c r="D55" s="33"/>
      <c r="E55" s="33"/>
      <c r="F55" s="33"/>
      <c r="G55" s="33"/>
      <c r="H55" s="33"/>
      <c r="I55" s="33"/>
      <c r="J55" s="34"/>
      <c r="K55" s="34"/>
      <c r="L55" s="35" t="str">
        <f aca="false">IF($J55="","",$J55-IF($K55="",0,$K55))</f>
        <v/>
      </c>
      <c r="M55" s="36"/>
      <c r="N55" s="33"/>
      <c r="O55" s="33"/>
      <c r="P55" s="37"/>
      <c r="Q55" s="34"/>
      <c r="R55" s="34"/>
      <c r="S55" s="38" t="str">
        <f aca="false">IF(OR($Q55="",$R55="",$R55=0),"",$Q55/$R55)</f>
        <v/>
      </c>
      <c r="T55" s="18" t="str">
        <f aca="false">IF($S55="","",IF($S55&gt;=0.5,"PROCEDE BAJA","EVALUAR REPARACION"))</f>
        <v/>
      </c>
      <c r="U55" s="34"/>
      <c r="V55" s="33"/>
      <c r="W55" s="33"/>
      <c r="X55" s="33"/>
      <c r="Y55" s="33"/>
      <c r="Z55" s="33"/>
      <c r="AA55" s="33"/>
    </row>
    <row r="56" customFormat="false" ht="15" hidden="false" customHeight="false" outlineLevel="0" collapsed="false">
      <c r="A56" s="33"/>
      <c r="B56" s="33"/>
      <c r="C56" s="33"/>
      <c r="D56" s="33"/>
      <c r="E56" s="33"/>
      <c r="F56" s="33"/>
      <c r="G56" s="33"/>
      <c r="H56" s="33"/>
      <c r="I56" s="33"/>
      <c r="J56" s="34"/>
      <c r="K56" s="34"/>
      <c r="L56" s="35" t="str">
        <f aca="false">IF($J56="","",$J56-IF($K56="",0,$K56))</f>
        <v/>
      </c>
      <c r="M56" s="36"/>
      <c r="N56" s="33"/>
      <c r="O56" s="33"/>
      <c r="P56" s="37"/>
      <c r="Q56" s="34"/>
      <c r="R56" s="34"/>
      <c r="S56" s="38" t="str">
        <f aca="false">IF(OR($Q56="",$R56="",$R56=0),"",$Q56/$R56)</f>
        <v/>
      </c>
      <c r="T56" s="18" t="str">
        <f aca="false">IF($S56="","",IF($S56&gt;=0.5,"PROCEDE BAJA","EVALUAR REPARACION"))</f>
        <v/>
      </c>
      <c r="U56" s="34"/>
      <c r="V56" s="33"/>
      <c r="W56" s="33"/>
      <c r="X56" s="33"/>
      <c r="Y56" s="33"/>
      <c r="Z56" s="33"/>
      <c r="AA56" s="33"/>
    </row>
    <row r="57" customFormat="false" ht="15" hidden="false" customHeight="false" outlineLevel="0" collapsed="false">
      <c r="A57" s="33"/>
      <c r="B57" s="33"/>
      <c r="C57" s="33"/>
      <c r="D57" s="33"/>
      <c r="E57" s="33"/>
      <c r="F57" s="33"/>
      <c r="G57" s="33"/>
      <c r="H57" s="33"/>
      <c r="I57" s="33"/>
      <c r="J57" s="34"/>
      <c r="K57" s="34"/>
      <c r="L57" s="35" t="str">
        <f aca="false">IF($J57="","",$J57-IF($K57="",0,$K57))</f>
        <v/>
      </c>
      <c r="M57" s="36"/>
      <c r="N57" s="33"/>
      <c r="O57" s="33"/>
      <c r="P57" s="37"/>
      <c r="Q57" s="34"/>
      <c r="R57" s="34"/>
      <c r="S57" s="38" t="str">
        <f aca="false">IF(OR($Q57="",$R57="",$R57=0),"",$Q57/$R57)</f>
        <v/>
      </c>
      <c r="T57" s="18" t="str">
        <f aca="false">IF($S57="","",IF($S57&gt;=0.5,"PROCEDE BAJA","EVALUAR REPARACION"))</f>
        <v/>
      </c>
      <c r="U57" s="34"/>
      <c r="V57" s="33"/>
      <c r="W57" s="33"/>
      <c r="X57" s="33"/>
      <c r="Y57" s="33"/>
      <c r="Z57" s="33"/>
      <c r="AA57" s="33"/>
    </row>
    <row r="58" customFormat="false" ht="15" hidden="false" customHeight="false" outlineLevel="0" collapsed="false">
      <c r="A58" s="33"/>
      <c r="B58" s="33"/>
      <c r="C58" s="33"/>
      <c r="D58" s="33"/>
      <c r="E58" s="33"/>
      <c r="F58" s="33"/>
      <c r="G58" s="33"/>
      <c r="H58" s="33"/>
      <c r="I58" s="33"/>
      <c r="J58" s="34"/>
      <c r="K58" s="34"/>
      <c r="L58" s="35" t="str">
        <f aca="false">IF($J58="","",$J58-IF($K58="",0,$K58))</f>
        <v/>
      </c>
      <c r="M58" s="36"/>
      <c r="N58" s="33"/>
      <c r="O58" s="33"/>
      <c r="P58" s="37"/>
      <c r="Q58" s="34"/>
      <c r="R58" s="34"/>
      <c r="S58" s="38" t="str">
        <f aca="false">IF(OR($Q58="",$R58="",$R58=0),"",$Q58/$R58)</f>
        <v/>
      </c>
      <c r="T58" s="18" t="str">
        <f aca="false">IF($S58="","",IF($S58&gt;=0.5,"PROCEDE BAJA","EVALUAR REPARACION"))</f>
        <v/>
      </c>
      <c r="U58" s="34"/>
      <c r="V58" s="33"/>
      <c r="W58" s="33"/>
      <c r="X58" s="33"/>
      <c r="Y58" s="33"/>
      <c r="Z58" s="33"/>
      <c r="AA58" s="33"/>
    </row>
    <row r="59" customFormat="false" ht="15" hidden="false" customHeight="false" outlineLevel="0" collapsed="false">
      <c r="A59" s="33"/>
      <c r="B59" s="33"/>
      <c r="C59" s="33"/>
      <c r="D59" s="33"/>
      <c r="E59" s="33"/>
      <c r="F59" s="33"/>
      <c r="G59" s="33"/>
      <c r="H59" s="33"/>
      <c r="I59" s="33"/>
      <c r="J59" s="34"/>
      <c r="K59" s="34"/>
      <c r="L59" s="35" t="str">
        <f aca="false">IF($J59="","",$J59-IF($K59="",0,$K59))</f>
        <v/>
      </c>
      <c r="M59" s="36"/>
      <c r="N59" s="33"/>
      <c r="O59" s="33"/>
      <c r="P59" s="37"/>
      <c r="Q59" s="34"/>
      <c r="R59" s="34"/>
      <c r="S59" s="38" t="str">
        <f aca="false">IF(OR($Q59="",$R59="",$R59=0),"",$Q59/$R59)</f>
        <v/>
      </c>
      <c r="T59" s="18" t="str">
        <f aca="false">IF($S59="","",IF($S59&gt;=0.5,"PROCEDE BAJA","EVALUAR REPARACION"))</f>
        <v/>
      </c>
      <c r="U59" s="34"/>
      <c r="V59" s="33"/>
      <c r="W59" s="33"/>
      <c r="X59" s="33"/>
      <c r="Y59" s="33"/>
      <c r="Z59" s="33"/>
      <c r="AA59" s="33"/>
    </row>
    <row r="60" customFormat="false" ht="15" hidden="false" customHeight="false" outlineLevel="0" collapsed="false">
      <c r="A60" s="33"/>
      <c r="B60" s="33"/>
      <c r="C60" s="33"/>
      <c r="D60" s="33"/>
      <c r="E60" s="33"/>
      <c r="F60" s="33"/>
      <c r="G60" s="33"/>
      <c r="H60" s="33"/>
      <c r="I60" s="33"/>
      <c r="J60" s="34"/>
      <c r="K60" s="34"/>
      <c r="L60" s="35" t="str">
        <f aca="false">IF($J60="","",$J60-IF($K60="",0,$K60))</f>
        <v/>
      </c>
      <c r="M60" s="36"/>
      <c r="N60" s="33"/>
      <c r="O60" s="33"/>
      <c r="P60" s="37"/>
      <c r="Q60" s="34"/>
      <c r="R60" s="34"/>
      <c r="S60" s="38" t="str">
        <f aca="false">IF(OR($Q60="",$R60="",$R60=0),"",$Q60/$R60)</f>
        <v/>
      </c>
      <c r="T60" s="18" t="str">
        <f aca="false">IF($S60="","",IF($S60&gt;=0.5,"PROCEDE BAJA","EVALUAR REPARACION"))</f>
        <v/>
      </c>
      <c r="U60" s="34"/>
      <c r="V60" s="33"/>
      <c r="W60" s="33"/>
      <c r="X60" s="33"/>
      <c r="Y60" s="33"/>
      <c r="Z60" s="33"/>
      <c r="AA60" s="33"/>
    </row>
    <row r="61" customFormat="false" ht="15" hidden="false" customHeight="false" outlineLevel="0" collapsed="false">
      <c r="A61" s="33"/>
      <c r="B61" s="33"/>
      <c r="C61" s="33"/>
      <c r="D61" s="33"/>
      <c r="E61" s="33"/>
      <c r="F61" s="33"/>
      <c r="G61" s="33"/>
      <c r="H61" s="33"/>
      <c r="I61" s="33"/>
      <c r="J61" s="34"/>
      <c r="K61" s="34"/>
      <c r="L61" s="35" t="str">
        <f aca="false">IF($J61="","",$J61-IF($K61="",0,$K61))</f>
        <v/>
      </c>
      <c r="M61" s="36"/>
      <c r="N61" s="33"/>
      <c r="O61" s="33"/>
      <c r="P61" s="37"/>
      <c r="Q61" s="34"/>
      <c r="R61" s="34"/>
      <c r="S61" s="38" t="str">
        <f aca="false">IF(OR($Q61="",$R61="",$R61=0),"",$Q61/$R61)</f>
        <v/>
      </c>
      <c r="T61" s="18" t="str">
        <f aca="false">IF($S61="","",IF($S61&gt;=0.5,"PROCEDE BAJA","EVALUAR REPARACION"))</f>
        <v/>
      </c>
      <c r="U61" s="34"/>
      <c r="V61" s="33"/>
      <c r="W61" s="33"/>
      <c r="X61" s="33"/>
      <c r="Y61" s="33"/>
      <c r="Z61" s="33"/>
      <c r="AA61" s="33"/>
    </row>
    <row r="62" customFormat="false" ht="15" hidden="false" customHeight="false" outlineLevel="0" collapsed="false">
      <c r="A62" s="33"/>
      <c r="B62" s="33"/>
      <c r="C62" s="33"/>
      <c r="D62" s="33"/>
      <c r="E62" s="33"/>
      <c r="F62" s="33"/>
      <c r="G62" s="33"/>
      <c r="H62" s="33"/>
      <c r="I62" s="33"/>
      <c r="J62" s="34"/>
      <c r="K62" s="34"/>
      <c r="L62" s="35" t="str">
        <f aca="false">IF($J62="","",$J62-IF($K62="",0,$K62))</f>
        <v/>
      </c>
      <c r="M62" s="36"/>
      <c r="N62" s="33"/>
      <c r="O62" s="33"/>
      <c r="P62" s="37"/>
      <c r="Q62" s="34"/>
      <c r="R62" s="34"/>
      <c r="S62" s="38" t="str">
        <f aca="false">IF(OR($Q62="",$R62="",$R62=0),"",$Q62/$R62)</f>
        <v/>
      </c>
      <c r="T62" s="18" t="str">
        <f aca="false">IF($S62="","",IF($S62&gt;=0.5,"PROCEDE BAJA","EVALUAR REPARACION"))</f>
        <v/>
      </c>
      <c r="U62" s="34"/>
      <c r="V62" s="33"/>
      <c r="W62" s="33"/>
      <c r="X62" s="33"/>
      <c r="Y62" s="33"/>
      <c r="Z62" s="33"/>
      <c r="AA62" s="33"/>
    </row>
    <row r="63" customFormat="false" ht="15" hidden="false" customHeight="false" outlineLevel="0" collapsed="false">
      <c r="A63" s="33"/>
      <c r="B63" s="33"/>
      <c r="C63" s="33"/>
      <c r="D63" s="33"/>
      <c r="E63" s="33"/>
      <c r="F63" s="33"/>
      <c r="G63" s="33"/>
      <c r="H63" s="33"/>
      <c r="I63" s="33"/>
      <c r="J63" s="34"/>
      <c r="K63" s="34"/>
      <c r="L63" s="35" t="str">
        <f aca="false">IF($J63="","",$J63-IF($K63="",0,$K63))</f>
        <v/>
      </c>
      <c r="M63" s="36"/>
      <c r="N63" s="33"/>
      <c r="O63" s="33"/>
      <c r="P63" s="37"/>
      <c r="Q63" s="34"/>
      <c r="R63" s="34"/>
      <c r="S63" s="38" t="str">
        <f aca="false">IF(OR($Q63="",$R63="",$R63=0),"",$Q63/$R63)</f>
        <v/>
      </c>
      <c r="T63" s="18" t="str">
        <f aca="false">IF($S63="","",IF($S63&gt;=0.5,"PROCEDE BAJA","EVALUAR REPARACION"))</f>
        <v/>
      </c>
      <c r="U63" s="34"/>
      <c r="V63" s="33"/>
      <c r="W63" s="33"/>
      <c r="X63" s="33"/>
      <c r="Y63" s="33"/>
      <c r="Z63" s="33"/>
      <c r="AA63" s="33"/>
    </row>
    <row r="64" customFormat="false" ht="15" hidden="false" customHeight="false" outlineLevel="0" collapsed="false">
      <c r="A64" s="33"/>
      <c r="B64" s="33"/>
      <c r="C64" s="33"/>
      <c r="D64" s="33"/>
      <c r="E64" s="33"/>
      <c r="F64" s="33"/>
      <c r="G64" s="33"/>
      <c r="H64" s="33"/>
      <c r="I64" s="33"/>
      <c r="J64" s="34"/>
      <c r="K64" s="34"/>
      <c r="L64" s="35" t="str">
        <f aca="false">IF($J64="","",$J64-IF($K64="",0,$K64))</f>
        <v/>
      </c>
      <c r="M64" s="36"/>
      <c r="N64" s="33"/>
      <c r="O64" s="33"/>
      <c r="P64" s="37"/>
      <c r="Q64" s="34"/>
      <c r="R64" s="34"/>
      <c r="S64" s="38" t="str">
        <f aca="false">IF(OR($Q64="",$R64="",$R64=0),"",$Q64/$R64)</f>
        <v/>
      </c>
      <c r="T64" s="18" t="str">
        <f aca="false">IF($S64="","",IF($S64&gt;=0.5,"PROCEDE BAJA","EVALUAR REPARACION"))</f>
        <v/>
      </c>
      <c r="U64" s="34"/>
      <c r="V64" s="33"/>
      <c r="W64" s="33"/>
      <c r="X64" s="33"/>
      <c r="Y64" s="33"/>
      <c r="Z64" s="33"/>
      <c r="AA64" s="33"/>
    </row>
    <row r="65" customFormat="false" ht="15" hidden="false" customHeight="false" outlineLevel="0" collapsed="false">
      <c r="A65" s="33"/>
      <c r="B65" s="33"/>
      <c r="C65" s="33"/>
      <c r="D65" s="33"/>
      <c r="E65" s="33"/>
      <c r="F65" s="33"/>
      <c r="G65" s="33"/>
      <c r="H65" s="33"/>
      <c r="I65" s="33"/>
      <c r="J65" s="34"/>
      <c r="K65" s="34"/>
      <c r="L65" s="35" t="str">
        <f aca="false">IF($J65="","",$J65-IF($K65="",0,$K65))</f>
        <v/>
      </c>
      <c r="M65" s="36"/>
      <c r="N65" s="33"/>
      <c r="O65" s="33"/>
      <c r="P65" s="37"/>
      <c r="Q65" s="34"/>
      <c r="R65" s="34"/>
      <c r="S65" s="38" t="str">
        <f aca="false">IF(OR($Q65="",$R65="",$R65=0),"",$Q65/$R65)</f>
        <v/>
      </c>
      <c r="T65" s="18" t="str">
        <f aca="false">IF($S65="","",IF($S65&gt;=0.5,"PROCEDE BAJA","EVALUAR REPARACION"))</f>
        <v/>
      </c>
      <c r="U65" s="34"/>
      <c r="V65" s="33"/>
      <c r="W65" s="33"/>
      <c r="X65" s="33"/>
      <c r="Y65" s="33"/>
      <c r="Z65" s="33"/>
      <c r="AA65" s="33"/>
    </row>
    <row r="66" customFormat="false" ht="15" hidden="false" customHeight="false" outlineLevel="0" collapsed="false">
      <c r="A66" s="33"/>
      <c r="B66" s="33"/>
      <c r="C66" s="33"/>
      <c r="D66" s="33"/>
      <c r="E66" s="33"/>
      <c r="F66" s="33"/>
      <c r="G66" s="33"/>
      <c r="H66" s="33"/>
      <c r="I66" s="33"/>
      <c r="J66" s="34"/>
      <c r="K66" s="34"/>
      <c r="L66" s="35" t="str">
        <f aca="false">IF($J66="","",$J66-IF($K66="",0,$K66))</f>
        <v/>
      </c>
      <c r="M66" s="36"/>
      <c r="N66" s="33"/>
      <c r="O66" s="33"/>
      <c r="P66" s="37"/>
      <c r="Q66" s="34"/>
      <c r="R66" s="34"/>
      <c r="S66" s="38" t="str">
        <f aca="false">IF(OR($Q66="",$R66="",$R66=0),"",$Q66/$R66)</f>
        <v/>
      </c>
      <c r="T66" s="18" t="str">
        <f aca="false">IF($S66="","",IF($S66&gt;=0.5,"PROCEDE BAJA","EVALUAR REPARACION"))</f>
        <v/>
      </c>
      <c r="U66" s="34"/>
      <c r="V66" s="33"/>
      <c r="W66" s="33"/>
      <c r="X66" s="33"/>
      <c r="Y66" s="33"/>
      <c r="Z66" s="33"/>
      <c r="AA66" s="33"/>
    </row>
    <row r="67" customFormat="false" ht="15" hidden="false" customHeight="false" outlineLevel="0" collapsed="false">
      <c r="A67" s="33"/>
      <c r="B67" s="33"/>
      <c r="C67" s="33"/>
      <c r="D67" s="33"/>
      <c r="E67" s="33"/>
      <c r="F67" s="33"/>
      <c r="G67" s="33"/>
      <c r="H67" s="33"/>
      <c r="I67" s="33"/>
      <c r="J67" s="34"/>
      <c r="K67" s="34"/>
      <c r="L67" s="35" t="str">
        <f aca="false">IF($J67="","",$J67-IF($K67="",0,$K67))</f>
        <v/>
      </c>
      <c r="M67" s="36"/>
      <c r="N67" s="33"/>
      <c r="O67" s="33"/>
      <c r="P67" s="37"/>
      <c r="Q67" s="34"/>
      <c r="R67" s="34"/>
      <c r="S67" s="38" t="str">
        <f aca="false">IF(OR($Q67="",$R67="",$R67=0),"",$Q67/$R67)</f>
        <v/>
      </c>
      <c r="T67" s="18" t="str">
        <f aca="false">IF($S67="","",IF($S67&gt;=0.5,"PROCEDE BAJA","EVALUAR REPARACION"))</f>
        <v/>
      </c>
      <c r="U67" s="34"/>
      <c r="V67" s="33"/>
      <c r="W67" s="33"/>
      <c r="X67" s="33"/>
      <c r="Y67" s="33"/>
      <c r="Z67" s="33"/>
      <c r="AA67" s="33"/>
    </row>
    <row r="68" customFormat="false" ht="15" hidden="false" customHeight="false" outlineLevel="0" collapsed="false">
      <c r="A68" s="33"/>
      <c r="B68" s="33"/>
      <c r="C68" s="33"/>
      <c r="D68" s="33"/>
      <c r="E68" s="33"/>
      <c r="F68" s="33"/>
      <c r="G68" s="33"/>
      <c r="H68" s="33"/>
      <c r="I68" s="33"/>
      <c r="J68" s="34"/>
      <c r="K68" s="34"/>
      <c r="L68" s="35" t="str">
        <f aca="false">IF($J68="","",$J68-IF($K68="",0,$K68))</f>
        <v/>
      </c>
      <c r="M68" s="36"/>
      <c r="N68" s="33"/>
      <c r="O68" s="33"/>
      <c r="P68" s="37"/>
      <c r="Q68" s="34"/>
      <c r="R68" s="34"/>
      <c r="S68" s="38" t="str">
        <f aca="false">IF(OR($Q68="",$R68="",$R68=0),"",$Q68/$R68)</f>
        <v/>
      </c>
      <c r="T68" s="18" t="str">
        <f aca="false">IF($S68="","",IF($S68&gt;=0.5,"PROCEDE BAJA","EVALUAR REPARACION"))</f>
        <v/>
      </c>
      <c r="U68" s="34"/>
      <c r="V68" s="33"/>
      <c r="W68" s="33"/>
      <c r="X68" s="33"/>
      <c r="Y68" s="33"/>
      <c r="Z68" s="33"/>
      <c r="AA68" s="33"/>
    </row>
    <row r="69" customFormat="false" ht="15" hidden="false" customHeight="false" outlineLevel="0" collapsed="false">
      <c r="A69" s="33"/>
      <c r="B69" s="33"/>
      <c r="C69" s="33"/>
      <c r="D69" s="33"/>
      <c r="E69" s="33"/>
      <c r="F69" s="33"/>
      <c r="G69" s="33"/>
      <c r="H69" s="33"/>
      <c r="I69" s="33"/>
      <c r="J69" s="34"/>
      <c r="K69" s="34"/>
      <c r="L69" s="35" t="str">
        <f aca="false">IF($J69="","",$J69-IF($K69="",0,$K69))</f>
        <v/>
      </c>
      <c r="M69" s="36"/>
      <c r="N69" s="33"/>
      <c r="O69" s="33"/>
      <c r="P69" s="37"/>
      <c r="Q69" s="34"/>
      <c r="R69" s="34"/>
      <c r="S69" s="38" t="str">
        <f aca="false">IF(OR($Q69="",$R69="",$R69=0),"",$Q69/$R69)</f>
        <v/>
      </c>
      <c r="T69" s="18" t="str">
        <f aca="false">IF($S69="","",IF($S69&gt;=0.5,"PROCEDE BAJA","EVALUAR REPARACION"))</f>
        <v/>
      </c>
      <c r="U69" s="34"/>
      <c r="V69" s="33"/>
      <c r="W69" s="33"/>
      <c r="X69" s="33"/>
      <c r="Y69" s="33"/>
      <c r="Z69" s="33"/>
      <c r="AA69" s="33"/>
    </row>
    <row r="70" customFormat="false" ht="15" hidden="false" customHeight="false" outlineLevel="0" collapsed="false">
      <c r="A70" s="33"/>
      <c r="B70" s="33"/>
      <c r="C70" s="33"/>
      <c r="D70" s="33"/>
      <c r="E70" s="33"/>
      <c r="F70" s="33"/>
      <c r="G70" s="33"/>
      <c r="H70" s="33"/>
      <c r="I70" s="33"/>
      <c r="J70" s="34"/>
      <c r="K70" s="34"/>
      <c r="L70" s="35" t="str">
        <f aca="false">IF($J70="","",$J70-IF($K70="",0,$K70))</f>
        <v/>
      </c>
      <c r="M70" s="36"/>
      <c r="N70" s="33"/>
      <c r="O70" s="33"/>
      <c r="P70" s="37"/>
      <c r="Q70" s="34"/>
      <c r="R70" s="34"/>
      <c r="S70" s="38" t="str">
        <f aca="false">IF(OR($Q70="",$R70="",$R70=0),"",$Q70/$R70)</f>
        <v/>
      </c>
      <c r="T70" s="18" t="str">
        <f aca="false">IF($S70="","",IF($S70&gt;=0.5,"PROCEDE BAJA","EVALUAR REPARACION"))</f>
        <v/>
      </c>
      <c r="U70" s="34"/>
      <c r="V70" s="33"/>
      <c r="W70" s="33"/>
      <c r="X70" s="33"/>
      <c r="Y70" s="33"/>
      <c r="Z70" s="33"/>
      <c r="AA70" s="33"/>
    </row>
    <row r="71" customFormat="false" ht="15" hidden="false" customHeight="false" outlineLevel="0" collapsed="false">
      <c r="A71" s="33"/>
      <c r="B71" s="33"/>
      <c r="C71" s="33"/>
      <c r="D71" s="33"/>
      <c r="E71" s="33"/>
      <c r="F71" s="33"/>
      <c r="G71" s="33"/>
      <c r="H71" s="33"/>
      <c r="I71" s="33"/>
      <c r="J71" s="34"/>
      <c r="K71" s="34"/>
      <c r="L71" s="35" t="str">
        <f aca="false">IF($J71="","",$J71-IF($K71="",0,$K71))</f>
        <v/>
      </c>
      <c r="M71" s="36"/>
      <c r="N71" s="33"/>
      <c r="O71" s="33"/>
      <c r="P71" s="37"/>
      <c r="Q71" s="34"/>
      <c r="R71" s="34"/>
      <c r="S71" s="38" t="str">
        <f aca="false">IF(OR($Q71="",$R71="",$R71=0),"",$Q71/$R71)</f>
        <v/>
      </c>
      <c r="T71" s="18" t="str">
        <f aca="false">IF($S71="","",IF($S71&gt;=0.5,"PROCEDE BAJA","EVALUAR REPARACION"))</f>
        <v/>
      </c>
      <c r="U71" s="34"/>
      <c r="V71" s="33"/>
      <c r="W71" s="33"/>
      <c r="X71" s="33"/>
      <c r="Y71" s="33"/>
      <c r="Z71" s="33"/>
      <c r="AA71" s="33"/>
    </row>
    <row r="72" customFormat="false" ht="15" hidden="false" customHeight="false" outlineLevel="0" collapsed="false">
      <c r="A72" s="33"/>
      <c r="B72" s="33"/>
      <c r="C72" s="33"/>
      <c r="D72" s="33"/>
      <c r="E72" s="33"/>
      <c r="F72" s="33"/>
      <c r="G72" s="33"/>
      <c r="H72" s="33"/>
      <c r="I72" s="33"/>
      <c r="J72" s="34"/>
      <c r="K72" s="34"/>
      <c r="L72" s="35" t="str">
        <f aca="false">IF($J72="","",$J72-IF($K72="",0,$K72))</f>
        <v/>
      </c>
      <c r="M72" s="36"/>
      <c r="N72" s="33"/>
      <c r="O72" s="33"/>
      <c r="P72" s="37"/>
      <c r="Q72" s="34"/>
      <c r="R72" s="34"/>
      <c r="S72" s="38" t="str">
        <f aca="false">IF(OR($Q72="",$R72="",$R72=0),"",$Q72/$R72)</f>
        <v/>
      </c>
      <c r="T72" s="18" t="str">
        <f aca="false">IF($S72="","",IF($S72&gt;=0.5,"PROCEDE BAJA","EVALUAR REPARACION"))</f>
        <v/>
      </c>
      <c r="U72" s="34"/>
      <c r="V72" s="33"/>
      <c r="W72" s="33"/>
      <c r="X72" s="33"/>
      <c r="Y72" s="33"/>
      <c r="Z72" s="33"/>
      <c r="AA72" s="33"/>
    </row>
    <row r="73" customFormat="false" ht="15" hidden="false" customHeight="false" outlineLevel="0" collapsed="false">
      <c r="A73" s="33"/>
      <c r="B73" s="33"/>
      <c r="C73" s="33"/>
      <c r="D73" s="33"/>
      <c r="E73" s="33"/>
      <c r="F73" s="33"/>
      <c r="G73" s="33"/>
      <c r="H73" s="33"/>
      <c r="I73" s="33"/>
      <c r="J73" s="34"/>
      <c r="K73" s="34"/>
      <c r="L73" s="35" t="str">
        <f aca="false">IF($J73="","",$J73-IF($K73="",0,$K73))</f>
        <v/>
      </c>
      <c r="M73" s="36"/>
      <c r="N73" s="33"/>
      <c r="O73" s="33"/>
      <c r="P73" s="37"/>
      <c r="Q73" s="34"/>
      <c r="R73" s="34"/>
      <c r="S73" s="38" t="str">
        <f aca="false">IF(OR($Q73="",$R73="",$R73=0),"",$Q73/$R73)</f>
        <v/>
      </c>
      <c r="T73" s="18" t="str">
        <f aca="false">IF($S73="","",IF($S73&gt;=0.5,"PROCEDE BAJA","EVALUAR REPARACION"))</f>
        <v/>
      </c>
      <c r="U73" s="34"/>
      <c r="V73" s="33"/>
      <c r="W73" s="33"/>
      <c r="X73" s="33"/>
      <c r="Y73" s="33"/>
      <c r="Z73" s="33"/>
      <c r="AA73" s="33"/>
    </row>
    <row r="74" customFormat="false" ht="15" hidden="false" customHeight="false" outlineLevel="0" collapsed="false">
      <c r="A74" s="33"/>
      <c r="B74" s="33"/>
      <c r="C74" s="33"/>
      <c r="D74" s="33"/>
      <c r="E74" s="33"/>
      <c r="F74" s="33"/>
      <c r="G74" s="33"/>
      <c r="H74" s="33"/>
      <c r="I74" s="33"/>
      <c r="J74" s="34"/>
      <c r="K74" s="34"/>
      <c r="L74" s="35" t="str">
        <f aca="false">IF($J74="","",$J74-IF($K74="",0,$K74))</f>
        <v/>
      </c>
      <c r="M74" s="36"/>
      <c r="N74" s="33"/>
      <c r="O74" s="33"/>
      <c r="P74" s="37"/>
      <c r="Q74" s="34"/>
      <c r="R74" s="34"/>
      <c r="S74" s="38" t="str">
        <f aca="false">IF(OR($Q74="",$R74="",$R74=0),"",$Q74/$R74)</f>
        <v/>
      </c>
      <c r="T74" s="18" t="str">
        <f aca="false">IF($S74="","",IF($S74&gt;=0.5,"PROCEDE BAJA","EVALUAR REPARACION"))</f>
        <v/>
      </c>
      <c r="U74" s="34"/>
      <c r="V74" s="33"/>
      <c r="W74" s="33"/>
      <c r="X74" s="33"/>
      <c r="Y74" s="33"/>
      <c r="Z74" s="33"/>
      <c r="AA74" s="33"/>
    </row>
    <row r="75" customFormat="false" ht="15" hidden="false" customHeight="false" outlineLevel="0" collapsed="false">
      <c r="A75" s="33"/>
      <c r="B75" s="33"/>
      <c r="C75" s="33"/>
      <c r="D75" s="33"/>
      <c r="E75" s="33"/>
      <c r="F75" s="33"/>
      <c r="G75" s="33"/>
      <c r="H75" s="33"/>
      <c r="I75" s="33"/>
      <c r="J75" s="34"/>
      <c r="K75" s="34"/>
      <c r="L75" s="35" t="str">
        <f aca="false">IF($J75="","",$J75-IF($K75="",0,$K75))</f>
        <v/>
      </c>
      <c r="M75" s="36"/>
      <c r="N75" s="33"/>
      <c r="O75" s="33"/>
      <c r="P75" s="37"/>
      <c r="Q75" s="34"/>
      <c r="R75" s="34"/>
      <c r="S75" s="38" t="str">
        <f aca="false">IF(OR($Q75="",$R75="",$R75=0),"",$Q75/$R75)</f>
        <v/>
      </c>
      <c r="T75" s="18" t="str">
        <f aca="false">IF($S75="","",IF($S75&gt;=0.5,"PROCEDE BAJA","EVALUAR REPARACION"))</f>
        <v/>
      </c>
      <c r="U75" s="34"/>
      <c r="V75" s="33"/>
      <c r="W75" s="33"/>
      <c r="X75" s="33"/>
      <c r="Y75" s="33"/>
      <c r="Z75" s="33"/>
      <c r="AA75" s="33"/>
    </row>
    <row r="76" customFormat="false" ht="15" hidden="false" customHeight="false" outlineLevel="0" collapsed="false">
      <c r="A76" s="33"/>
      <c r="B76" s="33"/>
      <c r="C76" s="33"/>
      <c r="D76" s="33"/>
      <c r="E76" s="33"/>
      <c r="F76" s="33"/>
      <c r="G76" s="33"/>
      <c r="H76" s="33"/>
      <c r="I76" s="33"/>
      <c r="J76" s="34"/>
      <c r="K76" s="34"/>
      <c r="L76" s="35" t="str">
        <f aca="false">IF($J76="","",$J76-IF($K76="",0,$K76))</f>
        <v/>
      </c>
      <c r="M76" s="36"/>
      <c r="N76" s="33"/>
      <c r="O76" s="33"/>
      <c r="P76" s="37"/>
      <c r="Q76" s="34"/>
      <c r="R76" s="34"/>
      <c r="S76" s="38" t="str">
        <f aca="false">IF(OR($Q76="",$R76="",$R76=0),"",$Q76/$R76)</f>
        <v/>
      </c>
      <c r="T76" s="18" t="str">
        <f aca="false">IF($S76="","",IF($S76&gt;=0.5,"PROCEDE BAJA","EVALUAR REPARACION"))</f>
        <v/>
      </c>
      <c r="U76" s="34"/>
      <c r="V76" s="33"/>
      <c r="W76" s="33"/>
      <c r="X76" s="33"/>
      <c r="Y76" s="33"/>
      <c r="Z76" s="33"/>
      <c r="AA76" s="33"/>
    </row>
    <row r="77" customFormat="false" ht="15" hidden="false" customHeight="false" outlineLevel="0" collapsed="false">
      <c r="A77" s="33"/>
      <c r="B77" s="33"/>
      <c r="C77" s="33"/>
      <c r="D77" s="33"/>
      <c r="E77" s="33"/>
      <c r="F77" s="33"/>
      <c r="G77" s="33"/>
      <c r="H77" s="33"/>
      <c r="I77" s="33"/>
      <c r="J77" s="34"/>
      <c r="K77" s="34"/>
      <c r="L77" s="35" t="str">
        <f aca="false">IF($J77="","",$J77-IF($K77="",0,$K77))</f>
        <v/>
      </c>
      <c r="M77" s="36"/>
      <c r="N77" s="33"/>
      <c r="O77" s="33"/>
      <c r="P77" s="37"/>
      <c r="Q77" s="34"/>
      <c r="R77" s="34"/>
      <c r="S77" s="38" t="str">
        <f aca="false">IF(OR($Q77="",$R77="",$R77=0),"",$Q77/$R77)</f>
        <v/>
      </c>
      <c r="T77" s="18" t="str">
        <f aca="false">IF($S77="","",IF($S77&gt;=0.5,"PROCEDE BAJA","EVALUAR REPARACION"))</f>
        <v/>
      </c>
      <c r="U77" s="34"/>
      <c r="V77" s="33"/>
      <c r="W77" s="33"/>
      <c r="X77" s="33"/>
      <c r="Y77" s="33"/>
      <c r="Z77" s="33"/>
      <c r="AA77" s="33"/>
    </row>
    <row r="78" customFormat="false" ht="15" hidden="false" customHeight="false" outlineLevel="0" collapsed="false">
      <c r="A78" s="33"/>
      <c r="B78" s="33"/>
      <c r="C78" s="33"/>
      <c r="D78" s="33"/>
      <c r="E78" s="33"/>
      <c r="F78" s="33"/>
      <c r="G78" s="33"/>
      <c r="H78" s="33"/>
      <c r="I78" s="33"/>
      <c r="J78" s="34"/>
      <c r="K78" s="34"/>
      <c r="L78" s="35" t="str">
        <f aca="false">IF($J78="","",$J78-IF($K78="",0,$K78))</f>
        <v/>
      </c>
      <c r="M78" s="36"/>
      <c r="N78" s="33"/>
      <c r="O78" s="33"/>
      <c r="P78" s="37"/>
      <c r="Q78" s="34"/>
      <c r="R78" s="34"/>
      <c r="S78" s="38" t="str">
        <f aca="false">IF(OR($Q78="",$R78="",$R78=0),"",$Q78/$R78)</f>
        <v/>
      </c>
      <c r="T78" s="18" t="str">
        <f aca="false">IF($S78="","",IF($S78&gt;=0.5,"PROCEDE BAJA","EVALUAR REPARACION"))</f>
        <v/>
      </c>
      <c r="U78" s="34"/>
      <c r="V78" s="33"/>
      <c r="W78" s="33"/>
      <c r="X78" s="33"/>
      <c r="Y78" s="33"/>
      <c r="Z78" s="33"/>
      <c r="AA78" s="33"/>
    </row>
    <row r="79" customFormat="false" ht="15" hidden="false" customHeight="false" outlineLevel="0" collapsed="false">
      <c r="A79" s="33"/>
      <c r="B79" s="33"/>
      <c r="C79" s="33"/>
      <c r="D79" s="33"/>
      <c r="E79" s="33"/>
      <c r="F79" s="33"/>
      <c r="G79" s="33"/>
      <c r="H79" s="33"/>
      <c r="I79" s="33"/>
      <c r="J79" s="34"/>
      <c r="K79" s="34"/>
      <c r="L79" s="35" t="str">
        <f aca="false">IF($J79="","",$J79-IF($K79="",0,$K79))</f>
        <v/>
      </c>
      <c r="M79" s="36"/>
      <c r="N79" s="33"/>
      <c r="O79" s="33"/>
      <c r="P79" s="37"/>
      <c r="Q79" s="34"/>
      <c r="R79" s="34"/>
      <c r="S79" s="38" t="str">
        <f aca="false">IF(OR($Q79="",$R79="",$R79=0),"",$Q79/$R79)</f>
        <v/>
      </c>
      <c r="T79" s="18" t="str">
        <f aca="false">IF($S79="","",IF($S79&gt;=0.5,"PROCEDE BAJA","EVALUAR REPARACION"))</f>
        <v/>
      </c>
      <c r="U79" s="34"/>
      <c r="V79" s="33"/>
      <c r="W79" s="33"/>
      <c r="X79" s="33"/>
      <c r="Y79" s="33"/>
      <c r="Z79" s="33"/>
      <c r="AA79" s="33"/>
    </row>
    <row r="80" customFormat="false" ht="15" hidden="false" customHeight="false" outlineLevel="0" collapsed="false">
      <c r="A80" s="33"/>
      <c r="B80" s="33"/>
      <c r="C80" s="33"/>
      <c r="D80" s="33"/>
      <c r="E80" s="33"/>
      <c r="F80" s="33"/>
      <c r="G80" s="33"/>
      <c r="H80" s="33"/>
      <c r="I80" s="33"/>
      <c r="J80" s="34"/>
      <c r="K80" s="34"/>
      <c r="L80" s="35" t="str">
        <f aca="false">IF($J80="","",$J80-IF($K80="",0,$K80))</f>
        <v/>
      </c>
      <c r="M80" s="36"/>
      <c r="N80" s="33"/>
      <c r="O80" s="33"/>
      <c r="P80" s="37"/>
      <c r="Q80" s="34"/>
      <c r="R80" s="34"/>
      <c r="S80" s="38" t="str">
        <f aca="false">IF(OR($Q80="",$R80="",$R80=0),"",$Q80/$R80)</f>
        <v/>
      </c>
      <c r="T80" s="18" t="str">
        <f aca="false">IF($S80="","",IF($S80&gt;=0.5,"PROCEDE BAJA","EVALUAR REPARACION"))</f>
        <v/>
      </c>
      <c r="U80" s="34"/>
      <c r="V80" s="33"/>
      <c r="W80" s="33"/>
      <c r="X80" s="33"/>
      <c r="Y80" s="33"/>
      <c r="Z80" s="33"/>
      <c r="AA80" s="33"/>
    </row>
    <row r="81" customFormat="false" ht="15" hidden="false" customHeight="false" outlineLevel="0" collapsed="false">
      <c r="A81" s="33"/>
      <c r="B81" s="33"/>
      <c r="C81" s="33"/>
      <c r="D81" s="33"/>
      <c r="E81" s="33"/>
      <c r="F81" s="33"/>
      <c r="G81" s="33"/>
      <c r="H81" s="33"/>
      <c r="I81" s="33"/>
      <c r="J81" s="34"/>
      <c r="K81" s="34"/>
      <c r="L81" s="35" t="str">
        <f aca="false">IF($J81="","",$J81-IF($K81="",0,$K81))</f>
        <v/>
      </c>
      <c r="M81" s="36"/>
      <c r="N81" s="33"/>
      <c r="O81" s="33"/>
      <c r="P81" s="37"/>
      <c r="Q81" s="34"/>
      <c r="R81" s="34"/>
      <c r="S81" s="38" t="str">
        <f aca="false">IF(OR($Q81="",$R81="",$R81=0),"",$Q81/$R81)</f>
        <v/>
      </c>
      <c r="T81" s="18" t="str">
        <f aca="false">IF($S81="","",IF($S81&gt;=0.5,"PROCEDE BAJA","EVALUAR REPARACION"))</f>
        <v/>
      </c>
      <c r="U81" s="34"/>
      <c r="V81" s="33"/>
      <c r="W81" s="33"/>
      <c r="X81" s="33"/>
      <c r="Y81" s="33"/>
      <c r="Z81" s="33"/>
      <c r="AA81" s="33"/>
    </row>
    <row r="82" customFormat="false" ht="15" hidden="false" customHeight="false" outlineLevel="0" collapsed="false">
      <c r="A82" s="33"/>
      <c r="B82" s="33"/>
      <c r="C82" s="33"/>
      <c r="D82" s="33"/>
      <c r="E82" s="33"/>
      <c r="F82" s="33"/>
      <c r="G82" s="33"/>
      <c r="H82" s="33"/>
      <c r="I82" s="33"/>
      <c r="J82" s="34"/>
      <c r="K82" s="34"/>
      <c r="L82" s="35" t="str">
        <f aca="false">IF($J82="","",$J82-IF($K82="",0,$K82))</f>
        <v/>
      </c>
      <c r="M82" s="36"/>
      <c r="N82" s="33"/>
      <c r="O82" s="33"/>
      <c r="P82" s="37"/>
      <c r="Q82" s="34"/>
      <c r="R82" s="34"/>
      <c r="S82" s="38" t="str">
        <f aca="false">IF(OR($Q82="",$R82="",$R82=0),"",$Q82/$R82)</f>
        <v/>
      </c>
      <c r="T82" s="18" t="str">
        <f aca="false">IF($S82="","",IF($S82&gt;=0.5,"PROCEDE BAJA","EVALUAR REPARACION"))</f>
        <v/>
      </c>
      <c r="U82" s="34"/>
      <c r="V82" s="33"/>
      <c r="W82" s="33"/>
      <c r="X82" s="33"/>
      <c r="Y82" s="33"/>
      <c r="Z82" s="33"/>
      <c r="AA82" s="33"/>
    </row>
    <row r="83" customFormat="false" ht="15" hidden="false" customHeight="false" outlineLevel="0" collapsed="false">
      <c r="A83" s="33"/>
      <c r="B83" s="33"/>
      <c r="C83" s="33"/>
      <c r="D83" s="33"/>
      <c r="E83" s="33"/>
      <c r="F83" s="33"/>
      <c r="G83" s="33"/>
      <c r="H83" s="33"/>
      <c r="I83" s="33"/>
      <c r="J83" s="34"/>
      <c r="K83" s="34"/>
      <c r="L83" s="35" t="str">
        <f aca="false">IF($J83="","",$J83-IF($K83="",0,$K83))</f>
        <v/>
      </c>
      <c r="M83" s="36"/>
      <c r="N83" s="33"/>
      <c r="O83" s="33"/>
      <c r="P83" s="37"/>
      <c r="Q83" s="34"/>
      <c r="R83" s="34"/>
      <c r="S83" s="38" t="str">
        <f aca="false">IF(OR($Q83="",$R83="",$R83=0),"",$Q83/$R83)</f>
        <v/>
      </c>
      <c r="T83" s="18" t="str">
        <f aca="false">IF($S83="","",IF($S83&gt;=0.5,"PROCEDE BAJA","EVALUAR REPARACION"))</f>
        <v/>
      </c>
      <c r="U83" s="34"/>
      <c r="V83" s="33"/>
      <c r="W83" s="33"/>
      <c r="X83" s="33"/>
      <c r="Y83" s="33"/>
      <c r="Z83" s="33"/>
      <c r="AA83" s="33"/>
    </row>
    <row r="84" customFormat="false" ht="15" hidden="false" customHeight="false" outlineLevel="0" collapsed="false">
      <c r="A84" s="33"/>
      <c r="B84" s="33"/>
      <c r="C84" s="33"/>
      <c r="D84" s="33"/>
      <c r="E84" s="33"/>
      <c r="F84" s="33"/>
      <c r="G84" s="33"/>
      <c r="H84" s="33"/>
      <c r="I84" s="33"/>
      <c r="J84" s="34"/>
      <c r="K84" s="34"/>
      <c r="L84" s="35" t="str">
        <f aca="false">IF($J84="","",$J84-IF($K84="",0,$K84))</f>
        <v/>
      </c>
      <c r="M84" s="36"/>
      <c r="N84" s="33"/>
      <c r="O84" s="33"/>
      <c r="P84" s="37"/>
      <c r="Q84" s="34"/>
      <c r="R84" s="34"/>
      <c r="S84" s="38" t="str">
        <f aca="false">IF(OR($Q84="",$R84="",$R84=0),"",$Q84/$R84)</f>
        <v/>
      </c>
      <c r="T84" s="18" t="str">
        <f aca="false">IF($S84="","",IF($S84&gt;=0.5,"PROCEDE BAJA","EVALUAR REPARACION"))</f>
        <v/>
      </c>
      <c r="U84" s="34"/>
      <c r="V84" s="33"/>
      <c r="W84" s="33"/>
      <c r="X84" s="33"/>
      <c r="Y84" s="33"/>
      <c r="Z84" s="33"/>
      <c r="AA84" s="33"/>
    </row>
    <row r="85" customFormat="false" ht="15" hidden="false" customHeight="false" outlineLevel="0" collapsed="false">
      <c r="A85" s="33"/>
      <c r="B85" s="33"/>
      <c r="C85" s="33"/>
      <c r="D85" s="33"/>
      <c r="E85" s="33"/>
      <c r="F85" s="33"/>
      <c r="G85" s="33"/>
      <c r="H85" s="33"/>
      <c r="I85" s="33"/>
      <c r="J85" s="34"/>
      <c r="K85" s="34"/>
      <c r="L85" s="35" t="str">
        <f aca="false">IF($J85="","",$J85-IF($K85="",0,$K85))</f>
        <v/>
      </c>
      <c r="M85" s="36"/>
      <c r="N85" s="33"/>
      <c r="O85" s="33"/>
      <c r="P85" s="37"/>
      <c r="Q85" s="34"/>
      <c r="R85" s="34"/>
      <c r="S85" s="38" t="str">
        <f aca="false">IF(OR($Q85="",$R85="",$R85=0),"",$Q85/$R85)</f>
        <v/>
      </c>
      <c r="T85" s="18" t="str">
        <f aca="false">IF($S85="","",IF($S85&gt;=0.5,"PROCEDE BAJA","EVALUAR REPARACION"))</f>
        <v/>
      </c>
      <c r="U85" s="34"/>
      <c r="V85" s="33"/>
      <c r="W85" s="33"/>
      <c r="X85" s="33"/>
      <c r="Y85" s="33"/>
      <c r="Z85" s="33"/>
      <c r="AA85" s="33"/>
    </row>
    <row r="86" customFormat="false" ht="15" hidden="false" customHeight="false" outlineLevel="0" collapsed="false">
      <c r="A86" s="33"/>
      <c r="B86" s="33"/>
      <c r="C86" s="33"/>
      <c r="D86" s="33"/>
      <c r="E86" s="33"/>
      <c r="F86" s="33"/>
      <c r="G86" s="33"/>
      <c r="H86" s="33"/>
      <c r="I86" s="33"/>
      <c r="J86" s="34"/>
      <c r="K86" s="34"/>
      <c r="L86" s="35" t="str">
        <f aca="false">IF($J86="","",$J86-IF($K86="",0,$K86))</f>
        <v/>
      </c>
      <c r="M86" s="36"/>
      <c r="N86" s="33"/>
      <c r="O86" s="33"/>
      <c r="P86" s="37"/>
      <c r="Q86" s="34"/>
      <c r="R86" s="34"/>
      <c r="S86" s="38" t="str">
        <f aca="false">IF(OR($Q86="",$R86="",$R86=0),"",$Q86/$R86)</f>
        <v/>
      </c>
      <c r="T86" s="18" t="str">
        <f aca="false">IF($S86="","",IF($S86&gt;=0.5,"PROCEDE BAJA","EVALUAR REPARACION"))</f>
        <v/>
      </c>
      <c r="U86" s="34"/>
      <c r="V86" s="33"/>
      <c r="W86" s="33"/>
      <c r="X86" s="33"/>
      <c r="Y86" s="33"/>
      <c r="Z86" s="33"/>
      <c r="AA86" s="33"/>
    </row>
    <row r="87" customFormat="false" ht="15" hidden="false" customHeight="false" outlineLevel="0" collapsed="false">
      <c r="A87" s="33"/>
      <c r="B87" s="33"/>
      <c r="C87" s="33"/>
      <c r="D87" s="33"/>
      <c r="E87" s="33"/>
      <c r="F87" s="33"/>
      <c r="G87" s="33"/>
      <c r="H87" s="33"/>
      <c r="I87" s="33"/>
      <c r="J87" s="34"/>
      <c r="K87" s="34"/>
      <c r="L87" s="35" t="str">
        <f aca="false">IF($J87="","",$J87-IF($K87="",0,$K87))</f>
        <v/>
      </c>
      <c r="M87" s="36"/>
      <c r="N87" s="33"/>
      <c r="O87" s="33"/>
      <c r="P87" s="37"/>
      <c r="Q87" s="34"/>
      <c r="R87" s="34"/>
      <c r="S87" s="38" t="str">
        <f aca="false">IF(OR($Q87="",$R87="",$R87=0),"",$Q87/$R87)</f>
        <v/>
      </c>
      <c r="T87" s="18" t="str">
        <f aca="false">IF($S87="","",IF($S87&gt;=0.5,"PROCEDE BAJA","EVALUAR REPARACION"))</f>
        <v/>
      </c>
      <c r="U87" s="34"/>
      <c r="V87" s="33"/>
      <c r="W87" s="33"/>
      <c r="X87" s="33"/>
      <c r="Y87" s="33"/>
      <c r="Z87" s="33"/>
      <c r="AA87" s="33"/>
    </row>
    <row r="88" customFormat="false" ht="15" hidden="false" customHeight="false" outlineLevel="0" collapsed="false">
      <c r="A88" s="33"/>
      <c r="B88" s="33"/>
      <c r="C88" s="33"/>
      <c r="D88" s="33"/>
      <c r="E88" s="33"/>
      <c r="F88" s="33"/>
      <c r="G88" s="33"/>
      <c r="H88" s="33"/>
      <c r="I88" s="33"/>
      <c r="J88" s="34"/>
      <c r="K88" s="34"/>
      <c r="L88" s="35" t="str">
        <f aca="false">IF($J88="","",$J88-IF($K88="",0,$K88))</f>
        <v/>
      </c>
      <c r="M88" s="36"/>
      <c r="N88" s="33"/>
      <c r="O88" s="33"/>
      <c r="P88" s="37"/>
      <c r="Q88" s="34"/>
      <c r="R88" s="34"/>
      <c r="S88" s="38" t="str">
        <f aca="false">IF(OR($Q88="",$R88="",$R88=0),"",$Q88/$R88)</f>
        <v/>
      </c>
      <c r="T88" s="18" t="str">
        <f aca="false">IF($S88="","",IF($S88&gt;=0.5,"PROCEDE BAJA","EVALUAR REPARACION"))</f>
        <v/>
      </c>
      <c r="U88" s="34"/>
      <c r="V88" s="33"/>
      <c r="W88" s="33"/>
      <c r="X88" s="33"/>
      <c r="Y88" s="33"/>
      <c r="Z88" s="33"/>
      <c r="AA88" s="33"/>
    </row>
    <row r="89" customFormat="false" ht="15" hidden="false" customHeight="false" outlineLevel="0" collapsed="false">
      <c r="A89" s="33"/>
      <c r="B89" s="33"/>
      <c r="C89" s="33"/>
      <c r="D89" s="33"/>
      <c r="E89" s="33"/>
      <c r="F89" s="33"/>
      <c r="G89" s="33"/>
      <c r="H89" s="33"/>
      <c r="I89" s="33"/>
      <c r="J89" s="34"/>
      <c r="K89" s="34"/>
      <c r="L89" s="35" t="str">
        <f aca="false">IF($J89="","",$J89-IF($K89="",0,$K89))</f>
        <v/>
      </c>
      <c r="M89" s="36"/>
      <c r="N89" s="33"/>
      <c r="O89" s="33"/>
      <c r="P89" s="37"/>
      <c r="Q89" s="34"/>
      <c r="R89" s="34"/>
      <c r="S89" s="38" t="str">
        <f aca="false">IF(OR($Q89="",$R89="",$R89=0),"",$Q89/$R89)</f>
        <v/>
      </c>
      <c r="T89" s="18" t="str">
        <f aca="false">IF($S89="","",IF($S89&gt;=0.5,"PROCEDE BAJA","EVALUAR REPARACION"))</f>
        <v/>
      </c>
      <c r="U89" s="34"/>
      <c r="V89" s="33"/>
      <c r="W89" s="33"/>
      <c r="X89" s="33"/>
      <c r="Y89" s="33"/>
      <c r="Z89" s="33"/>
      <c r="AA89" s="33"/>
    </row>
    <row r="90" customFormat="false" ht="15" hidden="false" customHeight="false" outlineLevel="0" collapsed="false">
      <c r="A90" s="33"/>
      <c r="B90" s="33"/>
      <c r="C90" s="33"/>
      <c r="D90" s="33"/>
      <c r="E90" s="33"/>
      <c r="F90" s="33"/>
      <c r="G90" s="33"/>
      <c r="H90" s="33"/>
      <c r="I90" s="33"/>
      <c r="J90" s="34"/>
      <c r="K90" s="34"/>
      <c r="L90" s="35" t="str">
        <f aca="false">IF($J90="","",$J90-IF($K90="",0,$K90))</f>
        <v/>
      </c>
      <c r="M90" s="36"/>
      <c r="N90" s="33"/>
      <c r="O90" s="33"/>
      <c r="P90" s="37"/>
      <c r="Q90" s="34"/>
      <c r="R90" s="34"/>
      <c r="S90" s="38" t="str">
        <f aca="false">IF(OR($Q90="",$R90="",$R90=0),"",$Q90/$R90)</f>
        <v/>
      </c>
      <c r="T90" s="18" t="str">
        <f aca="false">IF($S90="","",IF($S90&gt;=0.5,"PROCEDE BAJA","EVALUAR REPARACION"))</f>
        <v/>
      </c>
      <c r="U90" s="34"/>
      <c r="V90" s="33"/>
      <c r="W90" s="33"/>
      <c r="X90" s="33"/>
      <c r="Y90" s="33"/>
      <c r="Z90" s="33"/>
      <c r="AA90" s="33"/>
    </row>
    <row r="91" customFormat="false" ht="15" hidden="false" customHeight="false" outlineLevel="0" collapsed="false">
      <c r="A91" s="33"/>
      <c r="B91" s="33"/>
      <c r="C91" s="33"/>
      <c r="D91" s="33"/>
      <c r="E91" s="33"/>
      <c r="F91" s="33"/>
      <c r="G91" s="33"/>
      <c r="H91" s="33"/>
      <c r="I91" s="33"/>
      <c r="J91" s="34"/>
      <c r="K91" s="34"/>
      <c r="L91" s="35" t="str">
        <f aca="false">IF($J91="","",$J91-IF($K91="",0,$K91))</f>
        <v/>
      </c>
      <c r="M91" s="36"/>
      <c r="N91" s="33"/>
      <c r="O91" s="33"/>
      <c r="P91" s="37"/>
      <c r="Q91" s="34"/>
      <c r="R91" s="34"/>
      <c r="S91" s="38" t="str">
        <f aca="false">IF(OR($Q91="",$R91="",$R91=0),"",$Q91/$R91)</f>
        <v/>
      </c>
      <c r="T91" s="18" t="str">
        <f aca="false">IF($S91="","",IF($S91&gt;=0.5,"PROCEDE BAJA","EVALUAR REPARACION"))</f>
        <v/>
      </c>
      <c r="U91" s="34"/>
      <c r="V91" s="33"/>
      <c r="W91" s="33"/>
      <c r="X91" s="33"/>
      <c r="Y91" s="33"/>
      <c r="Z91" s="33"/>
      <c r="AA91" s="33"/>
    </row>
    <row r="92" customFormat="false" ht="15" hidden="false" customHeight="false" outlineLevel="0" collapsed="false">
      <c r="A92" s="33"/>
      <c r="B92" s="33"/>
      <c r="C92" s="33"/>
      <c r="D92" s="33"/>
      <c r="E92" s="33"/>
      <c r="F92" s="33"/>
      <c r="G92" s="33"/>
      <c r="H92" s="33"/>
      <c r="I92" s="33"/>
      <c r="J92" s="34"/>
      <c r="K92" s="34"/>
      <c r="L92" s="35" t="str">
        <f aca="false">IF($J92="","",$J92-IF($K92="",0,$K92))</f>
        <v/>
      </c>
      <c r="M92" s="36"/>
      <c r="N92" s="33"/>
      <c r="O92" s="33"/>
      <c r="P92" s="37"/>
      <c r="Q92" s="34"/>
      <c r="R92" s="34"/>
      <c r="S92" s="38" t="str">
        <f aca="false">IF(OR($Q92="",$R92="",$R92=0),"",$Q92/$R92)</f>
        <v/>
      </c>
      <c r="T92" s="18" t="str">
        <f aca="false">IF($S92="","",IF($S92&gt;=0.5,"PROCEDE BAJA","EVALUAR REPARACION"))</f>
        <v/>
      </c>
      <c r="U92" s="34"/>
      <c r="V92" s="33"/>
      <c r="W92" s="33"/>
      <c r="X92" s="33"/>
      <c r="Y92" s="33"/>
      <c r="Z92" s="33"/>
      <c r="AA92" s="33"/>
    </row>
    <row r="93" customFormat="false" ht="15" hidden="false" customHeight="false" outlineLevel="0" collapsed="false">
      <c r="A93" s="33"/>
      <c r="B93" s="33"/>
      <c r="C93" s="33"/>
      <c r="D93" s="33"/>
      <c r="E93" s="33"/>
      <c r="F93" s="33"/>
      <c r="G93" s="33"/>
      <c r="H93" s="33"/>
      <c r="I93" s="33"/>
      <c r="J93" s="34"/>
      <c r="K93" s="34"/>
      <c r="L93" s="35" t="str">
        <f aca="false">IF($J93="","",$J93-IF($K93="",0,$K93))</f>
        <v/>
      </c>
      <c r="M93" s="36"/>
      <c r="N93" s="33"/>
      <c r="O93" s="33"/>
      <c r="P93" s="37"/>
      <c r="Q93" s="34"/>
      <c r="R93" s="34"/>
      <c r="S93" s="38" t="str">
        <f aca="false">IF(OR($Q93="",$R93="",$R93=0),"",$Q93/$R93)</f>
        <v/>
      </c>
      <c r="T93" s="18" t="str">
        <f aca="false">IF($S93="","",IF($S93&gt;=0.5,"PROCEDE BAJA","EVALUAR REPARACION"))</f>
        <v/>
      </c>
      <c r="U93" s="34"/>
      <c r="V93" s="33"/>
      <c r="W93" s="33"/>
      <c r="X93" s="33"/>
      <c r="Y93" s="33"/>
      <c r="Z93" s="33"/>
      <c r="AA93" s="33"/>
    </row>
    <row r="94" customFormat="false" ht="15" hidden="false" customHeight="false" outlineLevel="0" collapsed="false">
      <c r="A94" s="33"/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35" t="str">
        <f aca="false">IF($J94="","",$J94-IF($K94="",0,$K94))</f>
        <v/>
      </c>
      <c r="M94" s="36"/>
      <c r="N94" s="33"/>
      <c r="O94" s="33"/>
      <c r="P94" s="37"/>
      <c r="Q94" s="34"/>
      <c r="R94" s="34"/>
      <c r="S94" s="38" t="str">
        <f aca="false">IF(OR($Q94="",$R94="",$R94=0),"",$Q94/$R94)</f>
        <v/>
      </c>
      <c r="T94" s="18" t="str">
        <f aca="false">IF($S94="","",IF($S94&gt;=0.5,"PROCEDE BAJA","EVALUAR REPARACION"))</f>
        <v/>
      </c>
      <c r="U94" s="34"/>
      <c r="V94" s="33"/>
      <c r="W94" s="33"/>
      <c r="X94" s="33"/>
      <c r="Y94" s="33"/>
      <c r="Z94" s="33"/>
      <c r="AA94" s="33"/>
    </row>
    <row r="95" customFormat="false" ht="15" hidden="false" customHeight="false" outlineLevel="0" collapsed="false">
      <c r="A95" s="33"/>
      <c r="B95" s="33"/>
      <c r="C95" s="33"/>
      <c r="D95" s="33"/>
      <c r="E95" s="33"/>
      <c r="F95" s="33"/>
      <c r="G95" s="33"/>
      <c r="H95" s="33"/>
      <c r="I95" s="33"/>
      <c r="J95" s="34"/>
      <c r="K95" s="34"/>
      <c r="L95" s="35" t="str">
        <f aca="false">IF($J95="","",$J95-IF($K95="",0,$K95))</f>
        <v/>
      </c>
      <c r="M95" s="36"/>
      <c r="N95" s="33"/>
      <c r="O95" s="33"/>
      <c r="P95" s="37"/>
      <c r="Q95" s="34"/>
      <c r="R95" s="34"/>
      <c r="S95" s="38" t="str">
        <f aca="false">IF(OR($Q95="",$R95="",$R95=0),"",$Q95/$R95)</f>
        <v/>
      </c>
      <c r="T95" s="18" t="str">
        <f aca="false">IF($S95="","",IF($S95&gt;=0.5,"PROCEDE BAJA","EVALUAR REPARACION"))</f>
        <v/>
      </c>
      <c r="U95" s="34"/>
      <c r="V95" s="33"/>
      <c r="W95" s="33"/>
      <c r="X95" s="33"/>
      <c r="Y95" s="33"/>
      <c r="Z95" s="33"/>
      <c r="AA95" s="33"/>
    </row>
    <row r="96" customFormat="false" ht="15" hidden="false" customHeight="false" outlineLevel="0" collapsed="false">
      <c r="A96" s="33"/>
      <c r="B96" s="33"/>
      <c r="C96" s="33"/>
      <c r="D96" s="33"/>
      <c r="E96" s="33"/>
      <c r="F96" s="33"/>
      <c r="G96" s="33"/>
      <c r="H96" s="33"/>
      <c r="I96" s="33"/>
      <c r="J96" s="34"/>
      <c r="K96" s="34"/>
      <c r="L96" s="35" t="str">
        <f aca="false">IF($J96="","",$J96-IF($K96="",0,$K96))</f>
        <v/>
      </c>
      <c r="M96" s="36"/>
      <c r="N96" s="33"/>
      <c r="O96" s="33"/>
      <c r="P96" s="37"/>
      <c r="Q96" s="34"/>
      <c r="R96" s="34"/>
      <c r="S96" s="38" t="str">
        <f aca="false">IF(OR($Q96="",$R96="",$R96=0),"",$Q96/$R96)</f>
        <v/>
      </c>
      <c r="T96" s="18" t="str">
        <f aca="false">IF($S96="","",IF($S96&gt;=0.5,"PROCEDE BAJA","EVALUAR REPARACION"))</f>
        <v/>
      </c>
      <c r="U96" s="34"/>
      <c r="V96" s="33"/>
      <c r="W96" s="33"/>
      <c r="X96" s="33"/>
      <c r="Y96" s="33"/>
      <c r="Z96" s="33"/>
      <c r="AA96" s="33"/>
    </row>
    <row r="97" customFormat="false" ht="15" hidden="false" customHeight="false" outlineLevel="0" collapsed="false">
      <c r="A97" s="33"/>
      <c r="B97" s="33"/>
      <c r="C97" s="33"/>
      <c r="D97" s="33"/>
      <c r="E97" s="33"/>
      <c r="F97" s="33"/>
      <c r="G97" s="33"/>
      <c r="H97" s="33"/>
      <c r="I97" s="33"/>
      <c r="J97" s="34"/>
      <c r="K97" s="34"/>
      <c r="L97" s="35" t="str">
        <f aca="false">IF($J97="","",$J97-IF($K97="",0,$K97))</f>
        <v/>
      </c>
      <c r="M97" s="36"/>
      <c r="N97" s="33"/>
      <c r="O97" s="33"/>
      <c r="P97" s="37"/>
      <c r="Q97" s="34"/>
      <c r="R97" s="34"/>
      <c r="S97" s="38" t="str">
        <f aca="false">IF(OR($Q97="",$R97="",$R97=0),"",$Q97/$R97)</f>
        <v/>
      </c>
      <c r="T97" s="18" t="str">
        <f aca="false">IF($S97="","",IF($S97&gt;=0.5,"PROCEDE BAJA","EVALUAR REPARACION"))</f>
        <v/>
      </c>
      <c r="U97" s="34"/>
      <c r="V97" s="33"/>
      <c r="W97" s="33"/>
      <c r="X97" s="33"/>
      <c r="Y97" s="33"/>
      <c r="Z97" s="33"/>
      <c r="AA97" s="33"/>
    </row>
    <row r="98" customFormat="false" ht="15" hidden="false" customHeight="false" outlineLevel="0" collapsed="false">
      <c r="A98" s="33"/>
      <c r="B98" s="33"/>
      <c r="C98" s="33"/>
      <c r="D98" s="33"/>
      <c r="E98" s="33"/>
      <c r="F98" s="33"/>
      <c r="G98" s="33"/>
      <c r="H98" s="33"/>
      <c r="I98" s="33"/>
      <c r="J98" s="34"/>
      <c r="K98" s="34"/>
      <c r="L98" s="35" t="str">
        <f aca="false">IF($J98="","",$J98-IF($K98="",0,$K98))</f>
        <v/>
      </c>
      <c r="M98" s="36"/>
      <c r="N98" s="33"/>
      <c r="O98" s="33"/>
      <c r="P98" s="37"/>
      <c r="Q98" s="34"/>
      <c r="R98" s="34"/>
      <c r="S98" s="38" t="str">
        <f aca="false">IF(OR($Q98="",$R98="",$R98=0),"",$Q98/$R98)</f>
        <v/>
      </c>
      <c r="T98" s="18" t="str">
        <f aca="false">IF($S98="","",IF($S98&gt;=0.5,"PROCEDE BAJA","EVALUAR REPARACION"))</f>
        <v/>
      </c>
      <c r="U98" s="34"/>
      <c r="V98" s="33"/>
      <c r="W98" s="33"/>
      <c r="X98" s="33"/>
      <c r="Y98" s="33"/>
      <c r="Z98" s="33"/>
      <c r="AA98" s="33"/>
    </row>
    <row r="99" customFormat="false" ht="15" hidden="false" customHeight="false" outlineLevel="0" collapsed="false">
      <c r="A99" s="33"/>
      <c r="B99" s="33"/>
      <c r="C99" s="33"/>
      <c r="D99" s="33"/>
      <c r="E99" s="33"/>
      <c r="F99" s="33"/>
      <c r="G99" s="33"/>
      <c r="H99" s="33"/>
      <c r="I99" s="33"/>
      <c r="J99" s="34"/>
      <c r="K99" s="34"/>
      <c r="L99" s="35" t="str">
        <f aca="false">IF($J99="","",$J99-IF($K99="",0,$K99))</f>
        <v/>
      </c>
      <c r="M99" s="36"/>
      <c r="N99" s="33"/>
      <c r="O99" s="33"/>
      <c r="P99" s="37"/>
      <c r="Q99" s="34"/>
      <c r="R99" s="34"/>
      <c r="S99" s="38" t="str">
        <f aca="false">IF(OR($Q99="",$R99="",$R99=0),"",$Q99/$R99)</f>
        <v/>
      </c>
      <c r="T99" s="18" t="str">
        <f aca="false">IF($S99="","",IF($S99&gt;=0.5,"PROCEDE BAJA","EVALUAR REPARACION"))</f>
        <v/>
      </c>
      <c r="U99" s="34"/>
      <c r="V99" s="33"/>
      <c r="W99" s="33"/>
      <c r="X99" s="33"/>
      <c r="Y99" s="33"/>
      <c r="Z99" s="33"/>
      <c r="AA99" s="33"/>
    </row>
    <row r="100" customFormat="false" ht="15" hidden="false" customHeight="false" outlineLevel="0" collapsed="false">
      <c r="A100" s="33"/>
      <c r="B100" s="33"/>
      <c r="C100" s="33"/>
      <c r="D100" s="33"/>
      <c r="E100" s="33"/>
      <c r="F100" s="33"/>
      <c r="G100" s="33"/>
      <c r="H100" s="33"/>
      <c r="I100" s="33"/>
      <c r="J100" s="34"/>
      <c r="K100" s="34"/>
      <c r="L100" s="35" t="str">
        <f aca="false">IF($J100="","",$J100-IF($K100="",0,$K100))</f>
        <v/>
      </c>
      <c r="M100" s="36"/>
      <c r="N100" s="33"/>
      <c r="O100" s="33"/>
      <c r="P100" s="37"/>
      <c r="Q100" s="34"/>
      <c r="R100" s="34"/>
      <c r="S100" s="38" t="str">
        <f aca="false">IF(OR($Q100="",$R100="",$R100=0),"",$Q100/$R100)</f>
        <v/>
      </c>
      <c r="T100" s="18" t="str">
        <f aca="false">IF($S100="","",IF($S100&gt;=0.5,"PROCEDE BAJA","EVALUAR REPARACION"))</f>
        <v/>
      </c>
      <c r="U100" s="34"/>
      <c r="V100" s="33"/>
      <c r="W100" s="33"/>
      <c r="X100" s="33"/>
      <c r="Y100" s="33"/>
      <c r="Z100" s="33"/>
      <c r="AA100" s="33"/>
    </row>
    <row r="101" customFormat="false" ht="15" hidden="false" customHeight="false" outlineLevel="0" collapsed="false">
      <c r="A101" s="33"/>
      <c r="B101" s="33"/>
      <c r="C101" s="33"/>
      <c r="D101" s="33"/>
      <c r="E101" s="33"/>
      <c r="F101" s="33"/>
      <c r="G101" s="33"/>
      <c r="H101" s="33"/>
      <c r="I101" s="33"/>
      <c r="J101" s="34"/>
      <c r="K101" s="34"/>
      <c r="L101" s="35" t="str">
        <f aca="false">IF($J101="","",$J101-IF($K101="",0,$K101))</f>
        <v/>
      </c>
      <c r="M101" s="36"/>
      <c r="N101" s="33"/>
      <c r="O101" s="33"/>
      <c r="P101" s="37"/>
      <c r="Q101" s="34"/>
      <c r="R101" s="34"/>
      <c r="S101" s="38" t="str">
        <f aca="false">IF(OR($Q101="",$R101="",$R101=0),"",$Q101/$R101)</f>
        <v/>
      </c>
      <c r="T101" s="18" t="str">
        <f aca="false">IF($S101="","",IF($S101&gt;=0.5,"PROCEDE BAJA","EVALUAR REPARACION"))</f>
        <v/>
      </c>
      <c r="U101" s="34"/>
      <c r="V101" s="33"/>
      <c r="W101" s="33"/>
      <c r="X101" s="33"/>
      <c r="Y101" s="33"/>
      <c r="Z101" s="33"/>
      <c r="AA101" s="33"/>
    </row>
    <row r="102" customFormat="false" ht="15" hidden="false" customHeight="false" outlineLevel="0" collapsed="false">
      <c r="A102" s="33"/>
      <c r="B102" s="33"/>
      <c r="C102" s="33"/>
      <c r="D102" s="33"/>
      <c r="E102" s="33"/>
      <c r="F102" s="33"/>
      <c r="G102" s="33"/>
      <c r="H102" s="33"/>
      <c r="I102" s="33"/>
      <c r="J102" s="34"/>
      <c r="K102" s="34"/>
      <c r="L102" s="35" t="str">
        <f aca="false">IF($J102="","",$J102-IF($K102="",0,$K102))</f>
        <v/>
      </c>
      <c r="M102" s="36"/>
      <c r="N102" s="33"/>
      <c r="O102" s="33"/>
      <c r="P102" s="37"/>
      <c r="Q102" s="34"/>
      <c r="R102" s="34"/>
      <c r="S102" s="38" t="str">
        <f aca="false">IF(OR($Q102="",$R102="",$R102=0),"",$Q102/$R102)</f>
        <v/>
      </c>
      <c r="T102" s="18" t="str">
        <f aca="false">IF($S102="","",IF($S102&gt;=0.5,"PROCEDE BAJA","EVALUAR REPARACION"))</f>
        <v/>
      </c>
      <c r="U102" s="34"/>
      <c r="V102" s="33"/>
      <c r="W102" s="33"/>
      <c r="X102" s="33"/>
      <c r="Y102" s="33"/>
      <c r="Z102" s="33"/>
      <c r="AA102" s="33"/>
    </row>
    <row r="103" customFormat="false" ht="15" hidden="false" customHeight="false" outlineLevel="0" collapsed="false">
      <c r="A103" s="33"/>
      <c r="B103" s="33"/>
      <c r="C103" s="33"/>
      <c r="D103" s="33"/>
      <c r="E103" s="33"/>
      <c r="F103" s="33"/>
      <c r="G103" s="33"/>
      <c r="H103" s="33"/>
      <c r="I103" s="33"/>
      <c r="J103" s="34"/>
      <c r="K103" s="34"/>
      <c r="L103" s="35" t="str">
        <f aca="false">IF($J103="","",$J103-IF($K103="",0,$K103))</f>
        <v/>
      </c>
      <c r="M103" s="36"/>
      <c r="N103" s="33"/>
      <c r="O103" s="33"/>
      <c r="P103" s="37"/>
      <c r="Q103" s="34"/>
      <c r="R103" s="34"/>
      <c r="S103" s="38" t="str">
        <f aca="false">IF(OR($Q103="",$R103="",$R103=0),"",$Q103/$R103)</f>
        <v/>
      </c>
      <c r="T103" s="18" t="str">
        <f aca="false">IF($S103="","",IF($S103&gt;=0.5,"PROCEDE BAJA","EVALUAR REPARACION"))</f>
        <v/>
      </c>
      <c r="U103" s="34"/>
      <c r="V103" s="33"/>
      <c r="W103" s="33"/>
      <c r="X103" s="33"/>
      <c r="Y103" s="33"/>
      <c r="Z103" s="33"/>
      <c r="AA103" s="33"/>
    </row>
    <row r="104" customFormat="false" ht="15" hidden="false" customHeight="false" outlineLevel="0" collapsed="false">
      <c r="A104" s="33"/>
      <c r="B104" s="33"/>
      <c r="C104" s="33"/>
      <c r="D104" s="33"/>
      <c r="E104" s="33"/>
      <c r="F104" s="33"/>
      <c r="G104" s="33"/>
      <c r="H104" s="33"/>
      <c r="I104" s="33"/>
      <c r="J104" s="34"/>
      <c r="K104" s="34"/>
      <c r="L104" s="35" t="str">
        <f aca="false">IF($J104="","",$J104-IF($K104="",0,$K104))</f>
        <v/>
      </c>
      <c r="M104" s="36"/>
      <c r="N104" s="33"/>
      <c r="O104" s="33"/>
      <c r="P104" s="37"/>
      <c r="Q104" s="34"/>
      <c r="R104" s="34"/>
      <c r="S104" s="38" t="str">
        <f aca="false">IF(OR($Q104="",$R104="",$R104=0),"",$Q104/$R104)</f>
        <v/>
      </c>
      <c r="T104" s="18" t="str">
        <f aca="false">IF($S104="","",IF($S104&gt;=0.5,"PROCEDE BAJA","EVALUAR REPARACION"))</f>
        <v/>
      </c>
      <c r="U104" s="34"/>
      <c r="V104" s="33"/>
      <c r="W104" s="33"/>
      <c r="X104" s="33"/>
      <c r="Y104" s="33"/>
      <c r="Z104" s="33"/>
      <c r="AA104" s="33"/>
    </row>
    <row r="105" customFormat="false" ht="15" hidden="false" customHeight="false" outlineLevel="0" collapsed="false">
      <c r="A105" s="33"/>
      <c r="B105" s="33"/>
      <c r="C105" s="33"/>
      <c r="D105" s="33"/>
      <c r="E105" s="33"/>
      <c r="F105" s="33"/>
      <c r="G105" s="33"/>
      <c r="H105" s="33"/>
      <c r="I105" s="33"/>
      <c r="J105" s="34"/>
      <c r="K105" s="34"/>
      <c r="L105" s="35" t="str">
        <f aca="false">IF($J105="","",$J105-IF($K105="",0,$K105))</f>
        <v/>
      </c>
      <c r="M105" s="36"/>
      <c r="N105" s="33"/>
      <c r="O105" s="33"/>
      <c r="P105" s="37"/>
      <c r="Q105" s="34"/>
      <c r="R105" s="34"/>
      <c r="S105" s="38" t="str">
        <f aca="false">IF(OR($Q105="",$R105="",$R105=0),"",$Q105/$R105)</f>
        <v/>
      </c>
      <c r="T105" s="18" t="str">
        <f aca="false">IF($S105="","",IF($S105&gt;=0.5,"PROCEDE BAJA","EVALUAR REPARACION"))</f>
        <v/>
      </c>
      <c r="U105" s="34"/>
      <c r="V105" s="33"/>
      <c r="W105" s="33"/>
      <c r="X105" s="33"/>
      <c r="Y105" s="33"/>
      <c r="Z105" s="33"/>
      <c r="AA105" s="33"/>
    </row>
    <row r="106" customFormat="false" ht="15" hidden="false" customHeight="false" outlineLevel="0" collapsed="false">
      <c r="A106" s="33"/>
      <c r="B106" s="33"/>
      <c r="C106" s="33"/>
      <c r="D106" s="33"/>
      <c r="E106" s="33"/>
      <c r="F106" s="33"/>
      <c r="G106" s="33"/>
      <c r="H106" s="33"/>
      <c r="I106" s="33"/>
      <c r="J106" s="34"/>
      <c r="K106" s="34"/>
      <c r="L106" s="35" t="str">
        <f aca="false">IF($J106="","",$J106-IF($K106="",0,$K106))</f>
        <v/>
      </c>
      <c r="M106" s="36"/>
      <c r="N106" s="33"/>
      <c r="O106" s="33"/>
      <c r="P106" s="37"/>
      <c r="Q106" s="34"/>
      <c r="R106" s="34"/>
      <c r="S106" s="38" t="str">
        <f aca="false">IF(OR($Q106="",$R106="",$R106=0),"",$Q106/$R106)</f>
        <v/>
      </c>
      <c r="T106" s="18" t="str">
        <f aca="false">IF($S106="","",IF($S106&gt;=0.5,"PROCEDE BAJA","EVALUAR REPARACION"))</f>
        <v/>
      </c>
      <c r="U106" s="34"/>
      <c r="V106" s="33"/>
      <c r="W106" s="33"/>
      <c r="X106" s="33"/>
      <c r="Y106" s="33"/>
      <c r="Z106" s="33"/>
      <c r="AA106" s="33"/>
    </row>
    <row r="107" customFormat="false" ht="15" hidden="false" customHeight="false" outlineLevel="0" collapsed="false">
      <c r="A107" s="33"/>
      <c r="B107" s="33"/>
      <c r="C107" s="33"/>
      <c r="D107" s="33"/>
      <c r="E107" s="33"/>
      <c r="F107" s="33"/>
      <c r="G107" s="33"/>
      <c r="H107" s="33"/>
      <c r="I107" s="33"/>
      <c r="J107" s="34"/>
      <c r="K107" s="34"/>
      <c r="L107" s="35" t="str">
        <f aca="false">IF($J107="","",$J107-IF($K107="",0,$K107))</f>
        <v/>
      </c>
      <c r="M107" s="36"/>
      <c r="N107" s="33"/>
      <c r="O107" s="33"/>
      <c r="P107" s="37"/>
      <c r="Q107" s="34"/>
      <c r="R107" s="34"/>
      <c r="S107" s="38" t="str">
        <f aca="false">IF(OR($Q107="",$R107="",$R107=0),"",$Q107/$R107)</f>
        <v/>
      </c>
      <c r="T107" s="18" t="str">
        <f aca="false">IF($S107="","",IF($S107&gt;=0.5,"PROCEDE BAJA","EVALUAR REPARACION"))</f>
        <v/>
      </c>
      <c r="U107" s="34"/>
      <c r="V107" s="33"/>
      <c r="W107" s="33"/>
      <c r="X107" s="33"/>
      <c r="Y107" s="33"/>
      <c r="Z107" s="33"/>
      <c r="AA107" s="33"/>
    </row>
    <row r="108" customFormat="false" ht="15" hidden="false" customHeight="false" outlineLevel="0" collapsed="false">
      <c r="A108" s="33"/>
      <c r="B108" s="33"/>
      <c r="C108" s="33"/>
      <c r="D108" s="33"/>
      <c r="E108" s="33"/>
      <c r="F108" s="33"/>
      <c r="G108" s="33"/>
      <c r="H108" s="33"/>
      <c r="I108" s="33"/>
      <c r="J108" s="34"/>
      <c r="K108" s="34"/>
      <c r="L108" s="35" t="str">
        <f aca="false">IF($J108="","",$J108-IF($K108="",0,$K108))</f>
        <v/>
      </c>
      <c r="M108" s="36"/>
      <c r="N108" s="33"/>
      <c r="O108" s="33"/>
      <c r="P108" s="37"/>
      <c r="Q108" s="34"/>
      <c r="R108" s="34"/>
      <c r="S108" s="38" t="str">
        <f aca="false">IF(OR($Q108="",$R108="",$R108=0),"",$Q108/$R108)</f>
        <v/>
      </c>
      <c r="T108" s="18" t="str">
        <f aca="false">IF($S108="","",IF($S108&gt;=0.5,"PROCEDE BAJA","EVALUAR REPARACION"))</f>
        <v/>
      </c>
      <c r="U108" s="34"/>
      <c r="V108" s="33"/>
      <c r="W108" s="33"/>
      <c r="X108" s="33"/>
      <c r="Y108" s="33"/>
      <c r="Z108" s="33"/>
      <c r="AA108" s="33"/>
    </row>
    <row r="109" customFormat="false" ht="15" hidden="false" customHeight="false" outlineLevel="0" collapsed="false">
      <c r="A109" s="33"/>
      <c r="B109" s="33"/>
      <c r="C109" s="33"/>
      <c r="D109" s="33"/>
      <c r="E109" s="33"/>
      <c r="F109" s="33"/>
      <c r="G109" s="33"/>
      <c r="H109" s="33"/>
      <c r="I109" s="33"/>
      <c r="J109" s="34"/>
      <c r="K109" s="34"/>
      <c r="L109" s="35" t="str">
        <f aca="false">IF($J109="","",$J109-IF($K109="",0,$K109))</f>
        <v/>
      </c>
      <c r="M109" s="36"/>
      <c r="N109" s="33"/>
      <c r="O109" s="33"/>
      <c r="P109" s="37"/>
      <c r="Q109" s="34"/>
      <c r="R109" s="34"/>
      <c r="S109" s="38" t="str">
        <f aca="false">IF(OR($Q109="",$R109="",$R109=0),"",$Q109/$R109)</f>
        <v/>
      </c>
      <c r="T109" s="18" t="str">
        <f aca="false">IF($S109="","",IF($S109&gt;=0.5,"PROCEDE BAJA","EVALUAR REPARACION"))</f>
        <v/>
      </c>
      <c r="U109" s="34"/>
      <c r="V109" s="33"/>
      <c r="W109" s="33"/>
      <c r="X109" s="33"/>
      <c r="Y109" s="33"/>
      <c r="Z109" s="33"/>
      <c r="AA109" s="33"/>
    </row>
    <row r="110" customFormat="false" ht="15" hidden="false" customHeight="false" outlineLevel="0" collapsed="false">
      <c r="A110" s="33"/>
      <c r="B110" s="33"/>
      <c r="C110" s="33"/>
      <c r="D110" s="33"/>
      <c r="E110" s="33"/>
      <c r="F110" s="33"/>
      <c r="G110" s="33"/>
      <c r="H110" s="33"/>
      <c r="I110" s="33"/>
      <c r="J110" s="34"/>
      <c r="K110" s="34"/>
      <c r="L110" s="35" t="str">
        <f aca="false">IF($J110="","",$J110-IF($K110="",0,$K110))</f>
        <v/>
      </c>
      <c r="M110" s="36"/>
      <c r="N110" s="33"/>
      <c r="O110" s="33"/>
      <c r="P110" s="37"/>
      <c r="Q110" s="34"/>
      <c r="R110" s="34"/>
      <c r="S110" s="38" t="str">
        <f aca="false">IF(OR($Q110="",$R110="",$R110=0),"",$Q110/$R110)</f>
        <v/>
      </c>
      <c r="T110" s="18" t="str">
        <f aca="false">IF($S110="","",IF($S110&gt;=0.5,"PROCEDE BAJA","EVALUAR REPARACION"))</f>
        <v/>
      </c>
      <c r="U110" s="34"/>
      <c r="V110" s="33"/>
      <c r="W110" s="33"/>
      <c r="X110" s="33"/>
      <c r="Y110" s="33"/>
      <c r="Z110" s="33"/>
      <c r="AA110" s="33"/>
    </row>
    <row r="111" customFormat="false" ht="15" hidden="false" customHeight="false" outlineLevel="0" collapsed="false">
      <c r="A111" s="33"/>
      <c r="B111" s="33"/>
      <c r="C111" s="33"/>
      <c r="D111" s="33"/>
      <c r="E111" s="33"/>
      <c r="F111" s="33"/>
      <c r="G111" s="33"/>
      <c r="H111" s="33"/>
      <c r="I111" s="33"/>
      <c r="J111" s="34"/>
      <c r="K111" s="34"/>
      <c r="L111" s="35" t="str">
        <f aca="false">IF($J111="","",$J111-IF($K111="",0,$K111))</f>
        <v/>
      </c>
      <c r="M111" s="36"/>
      <c r="N111" s="33"/>
      <c r="O111" s="33"/>
      <c r="P111" s="37"/>
      <c r="Q111" s="34"/>
      <c r="R111" s="34"/>
      <c r="S111" s="38" t="str">
        <f aca="false">IF(OR($Q111="",$R111="",$R111=0),"",$Q111/$R111)</f>
        <v/>
      </c>
      <c r="T111" s="18" t="str">
        <f aca="false">IF($S111="","",IF($S111&gt;=0.5,"PROCEDE BAJA","EVALUAR REPARACION"))</f>
        <v/>
      </c>
      <c r="U111" s="34"/>
      <c r="V111" s="33"/>
      <c r="W111" s="33"/>
      <c r="X111" s="33"/>
      <c r="Y111" s="33"/>
      <c r="Z111" s="33"/>
      <c r="AA111" s="33"/>
    </row>
    <row r="112" customFormat="false" ht="15" hidden="false" customHeight="false" outlineLevel="0" collapsed="false">
      <c r="A112" s="33"/>
      <c r="B112" s="33"/>
      <c r="C112" s="33"/>
      <c r="D112" s="33"/>
      <c r="E112" s="33"/>
      <c r="F112" s="33"/>
      <c r="G112" s="33"/>
      <c r="H112" s="33"/>
      <c r="I112" s="33"/>
      <c r="J112" s="34"/>
      <c r="K112" s="34"/>
      <c r="L112" s="35" t="str">
        <f aca="false">IF($J112="","",$J112-IF($K112="",0,$K112))</f>
        <v/>
      </c>
      <c r="M112" s="36"/>
      <c r="N112" s="33"/>
      <c r="O112" s="33"/>
      <c r="P112" s="37"/>
      <c r="Q112" s="34"/>
      <c r="R112" s="34"/>
      <c r="S112" s="38" t="str">
        <f aca="false">IF(OR($Q112="",$R112="",$R112=0),"",$Q112/$R112)</f>
        <v/>
      </c>
      <c r="T112" s="18" t="str">
        <f aca="false">IF($S112="","",IF($S112&gt;=0.5,"PROCEDE BAJA","EVALUAR REPARACION"))</f>
        <v/>
      </c>
      <c r="U112" s="34"/>
      <c r="V112" s="33"/>
      <c r="W112" s="33"/>
      <c r="X112" s="33"/>
      <c r="Y112" s="33"/>
      <c r="Z112" s="33"/>
      <c r="AA112" s="33"/>
    </row>
    <row r="113" customFormat="false" ht="15" hidden="false" customHeight="false" outlineLevel="0" collapsed="false">
      <c r="A113" s="33"/>
      <c r="B113" s="33"/>
      <c r="C113" s="33"/>
      <c r="D113" s="33"/>
      <c r="E113" s="33"/>
      <c r="F113" s="33"/>
      <c r="G113" s="33"/>
      <c r="H113" s="33"/>
      <c r="I113" s="33"/>
      <c r="J113" s="34"/>
      <c r="K113" s="34"/>
      <c r="L113" s="35" t="str">
        <f aca="false">IF($J113="","",$J113-IF($K113="",0,$K113))</f>
        <v/>
      </c>
      <c r="M113" s="36"/>
      <c r="N113" s="33"/>
      <c r="O113" s="33"/>
      <c r="P113" s="37"/>
      <c r="Q113" s="34"/>
      <c r="R113" s="34"/>
      <c r="S113" s="38" t="str">
        <f aca="false">IF(OR($Q113="",$R113="",$R113=0),"",$Q113/$R113)</f>
        <v/>
      </c>
      <c r="T113" s="18" t="str">
        <f aca="false">IF($S113="","",IF($S113&gt;=0.5,"PROCEDE BAJA","EVALUAR REPARACION"))</f>
        <v/>
      </c>
      <c r="U113" s="34"/>
      <c r="V113" s="33"/>
      <c r="W113" s="33"/>
      <c r="X113" s="33"/>
      <c r="Y113" s="33"/>
      <c r="Z113" s="33"/>
      <c r="AA113" s="33"/>
    </row>
    <row r="114" customFormat="false" ht="15" hidden="false" customHeight="false" outlineLevel="0" collapsed="false">
      <c r="A114" s="33"/>
      <c r="B114" s="33"/>
      <c r="C114" s="33"/>
      <c r="D114" s="33"/>
      <c r="E114" s="33"/>
      <c r="F114" s="33"/>
      <c r="G114" s="33"/>
      <c r="H114" s="33"/>
      <c r="I114" s="33"/>
      <c r="J114" s="34"/>
      <c r="K114" s="34"/>
      <c r="L114" s="35" t="str">
        <f aca="false">IF($J114="","",$J114-IF($K114="",0,$K114))</f>
        <v/>
      </c>
      <c r="M114" s="36"/>
      <c r="N114" s="33"/>
      <c r="O114" s="33"/>
      <c r="P114" s="37"/>
      <c r="Q114" s="34"/>
      <c r="R114" s="34"/>
      <c r="S114" s="38" t="str">
        <f aca="false">IF(OR($Q114="",$R114="",$R114=0),"",$Q114/$R114)</f>
        <v/>
      </c>
      <c r="T114" s="18" t="str">
        <f aca="false">IF($S114="","",IF($S114&gt;=0.5,"PROCEDE BAJA","EVALUAR REPARACION"))</f>
        <v/>
      </c>
      <c r="U114" s="34"/>
      <c r="V114" s="33"/>
      <c r="W114" s="33"/>
      <c r="X114" s="33"/>
      <c r="Y114" s="33"/>
      <c r="Z114" s="33"/>
      <c r="AA114" s="33"/>
    </row>
    <row r="115" customFormat="false" ht="15" hidden="false" customHeight="false" outlineLevel="0" collapsed="false">
      <c r="A115" s="33"/>
      <c r="B115" s="33"/>
      <c r="C115" s="33"/>
      <c r="D115" s="33"/>
      <c r="E115" s="33"/>
      <c r="F115" s="33"/>
      <c r="G115" s="33"/>
      <c r="H115" s="33"/>
      <c r="I115" s="33"/>
      <c r="J115" s="34"/>
      <c r="K115" s="34"/>
      <c r="L115" s="35" t="str">
        <f aca="false">IF($J115="","",$J115-IF($K115="",0,$K115))</f>
        <v/>
      </c>
      <c r="M115" s="36"/>
      <c r="N115" s="33"/>
      <c r="O115" s="33"/>
      <c r="P115" s="37"/>
      <c r="Q115" s="34"/>
      <c r="R115" s="34"/>
      <c r="S115" s="38" t="str">
        <f aca="false">IF(OR($Q115="",$R115="",$R115=0),"",$Q115/$R115)</f>
        <v/>
      </c>
      <c r="T115" s="18" t="str">
        <f aca="false">IF($S115="","",IF($S115&gt;=0.5,"PROCEDE BAJA","EVALUAR REPARACION"))</f>
        <v/>
      </c>
      <c r="U115" s="34"/>
      <c r="V115" s="33"/>
      <c r="W115" s="33"/>
      <c r="X115" s="33"/>
      <c r="Y115" s="33"/>
      <c r="Z115" s="33"/>
      <c r="AA115" s="33"/>
    </row>
    <row r="116" customFormat="false" ht="15" hidden="false" customHeight="false" outlineLevel="0" collapsed="false">
      <c r="A116" s="33"/>
      <c r="B116" s="33"/>
      <c r="C116" s="33"/>
      <c r="D116" s="33"/>
      <c r="E116" s="33"/>
      <c r="F116" s="33"/>
      <c r="G116" s="33"/>
      <c r="H116" s="33"/>
      <c r="I116" s="33"/>
      <c r="J116" s="34"/>
      <c r="K116" s="34"/>
      <c r="L116" s="35" t="str">
        <f aca="false">IF($J116="","",$J116-IF($K116="",0,$K116))</f>
        <v/>
      </c>
      <c r="M116" s="36"/>
      <c r="N116" s="33"/>
      <c r="O116" s="33"/>
      <c r="P116" s="37"/>
      <c r="Q116" s="34"/>
      <c r="R116" s="34"/>
      <c r="S116" s="38" t="str">
        <f aca="false">IF(OR($Q116="",$R116="",$R116=0),"",$Q116/$R116)</f>
        <v/>
      </c>
      <c r="T116" s="18" t="str">
        <f aca="false">IF($S116="","",IF($S116&gt;=0.5,"PROCEDE BAJA","EVALUAR REPARACION"))</f>
        <v/>
      </c>
      <c r="U116" s="34"/>
      <c r="V116" s="33"/>
      <c r="W116" s="33"/>
      <c r="X116" s="33"/>
      <c r="Y116" s="33"/>
      <c r="Z116" s="33"/>
      <c r="AA116" s="33"/>
    </row>
    <row r="117" customFormat="false" ht="15" hidden="false" customHeight="false" outlineLevel="0" collapsed="false">
      <c r="A117" s="33"/>
      <c r="B117" s="33"/>
      <c r="C117" s="33"/>
      <c r="D117" s="33"/>
      <c r="E117" s="33"/>
      <c r="F117" s="33"/>
      <c r="G117" s="33"/>
      <c r="H117" s="33"/>
      <c r="I117" s="33"/>
      <c r="J117" s="34"/>
      <c r="K117" s="34"/>
      <c r="L117" s="35" t="str">
        <f aca="false">IF($J117="","",$J117-IF($K117="",0,$K117))</f>
        <v/>
      </c>
      <c r="M117" s="36"/>
      <c r="N117" s="33"/>
      <c r="O117" s="33"/>
      <c r="P117" s="37"/>
      <c r="Q117" s="34"/>
      <c r="R117" s="34"/>
      <c r="S117" s="38" t="str">
        <f aca="false">IF(OR($Q117="",$R117="",$R117=0),"",$Q117/$R117)</f>
        <v/>
      </c>
      <c r="T117" s="18" t="str">
        <f aca="false">IF($S117="","",IF($S117&gt;=0.5,"PROCEDE BAJA","EVALUAR REPARACION"))</f>
        <v/>
      </c>
      <c r="U117" s="34"/>
      <c r="V117" s="33"/>
      <c r="W117" s="33"/>
      <c r="X117" s="33"/>
      <c r="Y117" s="33"/>
      <c r="Z117" s="33"/>
      <c r="AA117" s="33"/>
    </row>
    <row r="118" customFormat="false" ht="15" hidden="false" customHeight="false" outlineLevel="0" collapsed="false">
      <c r="A118" s="33"/>
      <c r="B118" s="33"/>
      <c r="C118" s="33"/>
      <c r="D118" s="33"/>
      <c r="E118" s="33"/>
      <c r="F118" s="33"/>
      <c r="G118" s="33"/>
      <c r="H118" s="33"/>
      <c r="I118" s="33"/>
      <c r="J118" s="34"/>
      <c r="K118" s="34"/>
      <c r="L118" s="35" t="str">
        <f aca="false">IF($J118="","",$J118-IF($K118="",0,$K118))</f>
        <v/>
      </c>
      <c r="M118" s="36"/>
      <c r="N118" s="33"/>
      <c r="O118" s="33"/>
      <c r="P118" s="37"/>
      <c r="Q118" s="34"/>
      <c r="R118" s="34"/>
      <c r="S118" s="38" t="str">
        <f aca="false">IF(OR($Q118="",$R118="",$R118=0),"",$Q118/$R118)</f>
        <v/>
      </c>
      <c r="T118" s="18" t="str">
        <f aca="false">IF($S118="","",IF($S118&gt;=0.5,"PROCEDE BAJA","EVALUAR REPARACION"))</f>
        <v/>
      </c>
      <c r="U118" s="34"/>
      <c r="V118" s="33"/>
      <c r="W118" s="33"/>
      <c r="X118" s="33"/>
      <c r="Y118" s="33"/>
      <c r="Z118" s="33"/>
      <c r="AA118" s="33"/>
    </row>
    <row r="119" customFormat="false" ht="15" hidden="false" customHeight="false" outlineLevel="0" collapsed="false">
      <c r="A119" s="33"/>
      <c r="B119" s="33"/>
      <c r="C119" s="33"/>
      <c r="D119" s="33"/>
      <c r="E119" s="33"/>
      <c r="F119" s="33"/>
      <c r="G119" s="33"/>
      <c r="H119" s="33"/>
      <c r="I119" s="33"/>
      <c r="J119" s="34"/>
      <c r="K119" s="34"/>
      <c r="L119" s="35" t="str">
        <f aca="false">IF($J119="","",$J119-IF($K119="",0,$K119))</f>
        <v/>
      </c>
      <c r="M119" s="36"/>
      <c r="N119" s="33"/>
      <c r="O119" s="33"/>
      <c r="P119" s="37"/>
      <c r="Q119" s="34"/>
      <c r="R119" s="34"/>
      <c r="S119" s="38" t="str">
        <f aca="false">IF(OR($Q119="",$R119="",$R119=0),"",$Q119/$R119)</f>
        <v/>
      </c>
      <c r="T119" s="18" t="str">
        <f aca="false">IF($S119="","",IF($S119&gt;=0.5,"PROCEDE BAJA","EVALUAR REPARACION"))</f>
        <v/>
      </c>
      <c r="U119" s="34"/>
      <c r="V119" s="33"/>
      <c r="W119" s="33"/>
      <c r="X119" s="33"/>
      <c r="Y119" s="33"/>
      <c r="Z119" s="33"/>
      <c r="AA119" s="33"/>
    </row>
    <row r="120" customFormat="false" ht="15" hidden="false" customHeight="false" outlineLevel="0" collapsed="false">
      <c r="A120" s="33"/>
      <c r="B120" s="33"/>
      <c r="C120" s="33"/>
      <c r="D120" s="33"/>
      <c r="E120" s="33"/>
      <c r="F120" s="33"/>
      <c r="G120" s="33"/>
      <c r="H120" s="33"/>
      <c r="I120" s="33"/>
      <c r="J120" s="34"/>
      <c r="K120" s="34"/>
      <c r="L120" s="35" t="str">
        <f aca="false">IF($J120="","",$J120-IF($K120="",0,$K120))</f>
        <v/>
      </c>
      <c r="M120" s="36"/>
      <c r="N120" s="33"/>
      <c r="O120" s="33"/>
      <c r="P120" s="37"/>
      <c r="Q120" s="34"/>
      <c r="R120" s="34"/>
      <c r="S120" s="38" t="str">
        <f aca="false">IF(OR($Q120="",$R120="",$R120=0),"",$Q120/$R120)</f>
        <v/>
      </c>
      <c r="T120" s="18" t="str">
        <f aca="false">IF($S120="","",IF($S120&gt;=0.5,"PROCEDE BAJA","EVALUAR REPARACION"))</f>
        <v/>
      </c>
      <c r="U120" s="34"/>
      <c r="V120" s="33"/>
      <c r="W120" s="33"/>
      <c r="X120" s="33"/>
      <c r="Y120" s="33"/>
      <c r="Z120" s="33"/>
      <c r="AA120" s="33"/>
    </row>
    <row r="121" customFormat="false" ht="15" hidden="false" customHeight="false" outlineLevel="0" collapsed="false">
      <c r="A121" s="33"/>
      <c r="B121" s="33"/>
      <c r="C121" s="33"/>
      <c r="D121" s="33"/>
      <c r="E121" s="33"/>
      <c r="F121" s="33"/>
      <c r="G121" s="33"/>
      <c r="H121" s="33"/>
      <c r="I121" s="33"/>
      <c r="J121" s="34"/>
      <c r="K121" s="34"/>
      <c r="L121" s="35" t="str">
        <f aca="false">IF($J121="","",$J121-IF($K121="",0,$K121))</f>
        <v/>
      </c>
      <c r="M121" s="36"/>
      <c r="N121" s="33"/>
      <c r="O121" s="33"/>
      <c r="P121" s="37"/>
      <c r="Q121" s="34"/>
      <c r="R121" s="34"/>
      <c r="S121" s="38" t="str">
        <f aca="false">IF(OR($Q121="",$R121="",$R121=0),"",$Q121/$R121)</f>
        <v/>
      </c>
      <c r="T121" s="18" t="str">
        <f aca="false">IF($S121="","",IF($S121&gt;=0.5,"PROCEDE BAJA","EVALUAR REPARACION"))</f>
        <v/>
      </c>
      <c r="U121" s="34"/>
      <c r="V121" s="33"/>
      <c r="W121" s="33"/>
      <c r="X121" s="33"/>
      <c r="Y121" s="33"/>
      <c r="Z121" s="33"/>
      <c r="AA121" s="33"/>
    </row>
    <row r="122" customFormat="false" ht="15" hidden="false" customHeight="false" outlineLevel="0" collapsed="false">
      <c r="A122" s="33"/>
      <c r="B122" s="33"/>
      <c r="C122" s="33"/>
      <c r="D122" s="33"/>
      <c r="E122" s="33"/>
      <c r="F122" s="33"/>
      <c r="G122" s="33"/>
      <c r="H122" s="33"/>
      <c r="I122" s="33"/>
      <c r="J122" s="34"/>
      <c r="K122" s="34"/>
      <c r="L122" s="35" t="str">
        <f aca="false">IF($J122="","",$J122-IF($K122="",0,$K122))</f>
        <v/>
      </c>
      <c r="M122" s="36"/>
      <c r="N122" s="33"/>
      <c r="O122" s="33"/>
      <c r="P122" s="37"/>
      <c r="Q122" s="34"/>
      <c r="R122" s="34"/>
      <c r="S122" s="38" t="str">
        <f aca="false">IF(OR($Q122="",$R122="",$R122=0),"",$Q122/$R122)</f>
        <v/>
      </c>
      <c r="T122" s="18" t="str">
        <f aca="false">IF($S122="","",IF($S122&gt;=0.5,"PROCEDE BAJA","EVALUAR REPARACION"))</f>
        <v/>
      </c>
      <c r="U122" s="34"/>
      <c r="V122" s="33"/>
      <c r="W122" s="33"/>
      <c r="X122" s="33"/>
      <c r="Y122" s="33"/>
      <c r="Z122" s="33"/>
      <c r="AA122" s="33"/>
    </row>
    <row r="123" customFormat="false" ht="15" hidden="false" customHeight="false" outlineLevel="0" collapsed="false">
      <c r="A123" s="33"/>
      <c r="B123" s="33"/>
      <c r="C123" s="33"/>
      <c r="D123" s="33"/>
      <c r="E123" s="33"/>
      <c r="F123" s="33"/>
      <c r="G123" s="33"/>
      <c r="H123" s="33"/>
      <c r="I123" s="33"/>
      <c r="J123" s="34"/>
      <c r="K123" s="34"/>
      <c r="L123" s="35" t="str">
        <f aca="false">IF($J123="","",$J123-IF($K123="",0,$K123))</f>
        <v/>
      </c>
      <c r="M123" s="36"/>
      <c r="N123" s="33"/>
      <c r="O123" s="33"/>
      <c r="P123" s="37"/>
      <c r="Q123" s="34"/>
      <c r="R123" s="34"/>
      <c r="S123" s="38" t="str">
        <f aca="false">IF(OR($Q123="",$R123="",$R123=0),"",$Q123/$R123)</f>
        <v/>
      </c>
      <c r="T123" s="18" t="str">
        <f aca="false">IF($S123="","",IF($S123&gt;=0.5,"PROCEDE BAJA","EVALUAR REPARACION"))</f>
        <v/>
      </c>
      <c r="U123" s="34"/>
      <c r="V123" s="33"/>
      <c r="W123" s="33"/>
      <c r="X123" s="33"/>
      <c r="Y123" s="33"/>
      <c r="Z123" s="33"/>
      <c r="AA123" s="33"/>
    </row>
    <row r="124" customFormat="false" ht="15" hidden="false" customHeight="false" outlineLevel="0" collapsed="false">
      <c r="A124" s="33"/>
      <c r="B124" s="33"/>
      <c r="C124" s="33"/>
      <c r="D124" s="33"/>
      <c r="E124" s="33"/>
      <c r="F124" s="33"/>
      <c r="G124" s="33"/>
      <c r="H124" s="33"/>
      <c r="I124" s="33"/>
      <c r="J124" s="34"/>
      <c r="K124" s="34"/>
      <c r="L124" s="35" t="str">
        <f aca="false">IF($J124="","",$J124-IF($K124="",0,$K124))</f>
        <v/>
      </c>
      <c r="M124" s="36"/>
      <c r="N124" s="33"/>
      <c r="O124" s="33"/>
      <c r="P124" s="37"/>
      <c r="Q124" s="34"/>
      <c r="R124" s="34"/>
      <c r="S124" s="38" t="str">
        <f aca="false">IF(OR($Q124="",$R124="",$R124=0),"",$Q124/$R124)</f>
        <v/>
      </c>
      <c r="T124" s="18" t="str">
        <f aca="false">IF($S124="","",IF($S124&gt;=0.5,"PROCEDE BAJA","EVALUAR REPARACION"))</f>
        <v/>
      </c>
      <c r="U124" s="34"/>
      <c r="V124" s="33"/>
      <c r="W124" s="33"/>
      <c r="X124" s="33"/>
      <c r="Y124" s="33"/>
      <c r="Z124" s="33"/>
      <c r="AA124" s="33"/>
    </row>
    <row r="125" customFormat="false" ht="15" hidden="false" customHeight="false" outlineLevel="0" collapsed="false">
      <c r="A125" s="33"/>
      <c r="B125" s="33"/>
      <c r="C125" s="33"/>
      <c r="D125" s="33"/>
      <c r="E125" s="33"/>
      <c r="F125" s="33"/>
      <c r="G125" s="33"/>
      <c r="H125" s="33"/>
      <c r="I125" s="33"/>
      <c r="J125" s="34"/>
      <c r="K125" s="34"/>
      <c r="L125" s="35" t="str">
        <f aca="false">IF($J125="","",$J125-IF($K125="",0,$K125))</f>
        <v/>
      </c>
      <c r="M125" s="36"/>
      <c r="N125" s="33"/>
      <c r="O125" s="33"/>
      <c r="P125" s="37"/>
      <c r="Q125" s="34"/>
      <c r="R125" s="34"/>
      <c r="S125" s="38" t="str">
        <f aca="false">IF(OR($Q125="",$R125="",$R125=0),"",$Q125/$R125)</f>
        <v/>
      </c>
      <c r="T125" s="18" t="str">
        <f aca="false">IF($S125="","",IF($S125&gt;=0.5,"PROCEDE BAJA","EVALUAR REPARACION"))</f>
        <v/>
      </c>
      <c r="U125" s="34"/>
      <c r="V125" s="33"/>
      <c r="W125" s="33"/>
      <c r="X125" s="33"/>
      <c r="Y125" s="33"/>
      <c r="Z125" s="33"/>
      <c r="AA125" s="33"/>
    </row>
    <row r="126" customFormat="false" ht="15" hidden="false" customHeight="false" outlineLevel="0" collapsed="false">
      <c r="A126" s="33"/>
      <c r="B126" s="33"/>
      <c r="C126" s="33"/>
      <c r="D126" s="33"/>
      <c r="E126" s="33"/>
      <c r="F126" s="33"/>
      <c r="G126" s="33"/>
      <c r="H126" s="33"/>
      <c r="I126" s="33"/>
      <c r="J126" s="34"/>
      <c r="K126" s="34"/>
      <c r="L126" s="35" t="str">
        <f aca="false">IF($J126="","",$J126-IF($K126="",0,$K126))</f>
        <v/>
      </c>
      <c r="M126" s="36"/>
      <c r="N126" s="33"/>
      <c r="O126" s="33"/>
      <c r="P126" s="37"/>
      <c r="Q126" s="34"/>
      <c r="R126" s="34"/>
      <c r="S126" s="38" t="str">
        <f aca="false">IF(OR($Q126="",$R126="",$R126=0),"",$Q126/$R126)</f>
        <v/>
      </c>
      <c r="T126" s="18" t="str">
        <f aca="false">IF($S126="","",IF($S126&gt;=0.5,"PROCEDE BAJA","EVALUAR REPARACION"))</f>
        <v/>
      </c>
      <c r="U126" s="34"/>
      <c r="V126" s="33"/>
      <c r="W126" s="33"/>
      <c r="X126" s="33"/>
      <c r="Y126" s="33"/>
      <c r="Z126" s="33"/>
      <c r="AA126" s="33"/>
    </row>
    <row r="127" customFormat="false" ht="15" hidden="false" customHeight="false" outlineLevel="0" collapsed="false">
      <c r="A127" s="33"/>
      <c r="B127" s="33"/>
      <c r="C127" s="33"/>
      <c r="D127" s="33"/>
      <c r="E127" s="33"/>
      <c r="F127" s="33"/>
      <c r="G127" s="33"/>
      <c r="H127" s="33"/>
      <c r="I127" s="33"/>
      <c r="J127" s="34"/>
      <c r="K127" s="34"/>
      <c r="L127" s="35" t="str">
        <f aca="false">IF($J127="","",$J127-IF($K127="",0,$K127))</f>
        <v/>
      </c>
      <c r="M127" s="36"/>
      <c r="N127" s="33"/>
      <c r="O127" s="33"/>
      <c r="P127" s="37"/>
      <c r="Q127" s="34"/>
      <c r="R127" s="34"/>
      <c r="S127" s="38" t="str">
        <f aca="false">IF(OR($Q127="",$R127="",$R127=0),"",$Q127/$R127)</f>
        <v/>
      </c>
      <c r="T127" s="18" t="str">
        <f aca="false">IF($S127="","",IF($S127&gt;=0.5,"PROCEDE BAJA","EVALUAR REPARACION"))</f>
        <v/>
      </c>
      <c r="U127" s="34"/>
      <c r="V127" s="33"/>
      <c r="W127" s="33"/>
      <c r="X127" s="33"/>
      <c r="Y127" s="33"/>
      <c r="Z127" s="33"/>
      <c r="AA127" s="33"/>
    </row>
    <row r="128" customFormat="false" ht="15" hidden="false" customHeight="false" outlineLevel="0" collapsed="false">
      <c r="A128" s="33"/>
      <c r="B128" s="33"/>
      <c r="C128" s="33"/>
      <c r="D128" s="33"/>
      <c r="E128" s="33"/>
      <c r="F128" s="33"/>
      <c r="G128" s="33"/>
      <c r="H128" s="33"/>
      <c r="I128" s="33"/>
      <c r="J128" s="34"/>
      <c r="K128" s="34"/>
      <c r="L128" s="35" t="str">
        <f aca="false">IF($J128="","",$J128-IF($K128="",0,$K128))</f>
        <v/>
      </c>
      <c r="M128" s="36"/>
      <c r="N128" s="33"/>
      <c r="O128" s="33"/>
      <c r="P128" s="37"/>
      <c r="Q128" s="34"/>
      <c r="R128" s="34"/>
      <c r="S128" s="38" t="str">
        <f aca="false">IF(OR($Q128="",$R128="",$R128=0),"",$Q128/$R128)</f>
        <v/>
      </c>
      <c r="T128" s="18" t="str">
        <f aca="false">IF($S128="","",IF($S128&gt;=0.5,"PROCEDE BAJA","EVALUAR REPARACION"))</f>
        <v/>
      </c>
      <c r="U128" s="34"/>
      <c r="V128" s="33"/>
      <c r="W128" s="33"/>
      <c r="X128" s="33"/>
      <c r="Y128" s="33"/>
      <c r="Z128" s="33"/>
      <c r="AA128" s="33"/>
    </row>
    <row r="129" customFormat="false" ht="15" hidden="false" customHeight="false" outlineLevel="0" collapsed="false">
      <c r="A129" s="33"/>
      <c r="B129" s="33"/>
      <c r="C129" s="33"/>
      <c r="D129" s="33"/>
      <c r="E129" s="33"/>
      <c r="F129" s="33"/>
      <c r="G129" s="33"/>
      <c r="H129" s="33"/>
      <c r="I129" s="33"/>
      <c r="J129" s="34"/>
      <c r="K129" s="34"/>
      <c r="L129" s="35" t="str">
        <f aca="false">IF($J129="","",$J129-IF($K129="",0,$K129))</f>
        <v/>
      </c>
      <c r="M129" s="36"/>
      <c r="N129" s="33"/>
      <c r="O129" s="33"/>
      <c r="P129" s="37"/>
      <c r="Q129" s="34"/>
      <c r="R129" s="34"/>
      <c r="S129" s="38" t="str">
        <f aca="false">IF(OR($Q129="",$R129="",$R129=0),"",$Q129/$R129)</f>
        <v/>
      </c>
      <c r="T129" s="18" t="str">
        <f aca="false">IF($S129="","",IF($S129&gt;=0.5,"PROCEDE BAJA","EVALUAR REPARACION"))</f>
        <v/>
      </c>
      <c r="U129" s="34"/>
      <c r="V129" s="33"/>
      <c r="W129" s="33"/>
      <c r="X129" s="33"/>
      <c r="Y129" s="33"/>
      <c r="Z129" s="33"/>
      <c r="AA129" s="33"/>
    </row>
    <row r="130" customFormat="false" ht="15" hidden="false" customHeight="false" outlineLevel="0" collapsed="false">
      <c r="A130" s="33"/>
      <c r="B130" s="33"/>
      <c r="C130" s="33"/>
      <c r="D130" s="33"/>
      <c r="E130" s="33"/>
      <c r="F130" s="33"/>
      <c r="G130" s="33"/>
      <c r="H130" s="33"/>
      <c r="I130" s="33"/>
      <c r="J130" s="34"/>
      <c r="K130" s="34"/>
      <c r="L130" s="35" t="str">
        <f aca="false">IF($J130="","",$J130-IF($K130="",0,$K130))</f>
        <v/>
      </c>
      <c r="M130" s="36"/>
      <c r="N130" s="33"/>
      <c r="O130" s="33"/>
      <c r="P130" s="37"/>
      <c r="Q130" s="34"/>
      <c r="R130" s="34"/>
      <c r="S130" s="38" t="str">
        <f aca="false">IF(OR($Q130="",$R130="",$R130=0),"",$Q130/$R130)</f>
        <v/>
      </c>
      <c r="T130" s="18" t="str">
        <f aca="false">IF($S130="","",IF($S130&gt;=0.5,"PROCEDE BAJA","EVALUAR REPARACION"))</f>
        <v/>
      </c>
      <c r="U130" s="34"/>
      <c r="V130" s="33"/>
      <c r="W130" s="33"/>
      <c r="X130" s="33"/>
      <c r="Y130" s="33"/>
      <c r="Z130" s="33"/>
      <c r="AA130" s="33"/>
    </row>
    <row r="131" customFormat="false" ht="15" hidden="false" customHeight="false" outlineLevel="0" collapsed="false">
      <c r="A131" s="33"/>
      <c r="B131" s="33"/>
      <c r="C131" s="33"/>
      <c r="D131" s="33"/>
      <c r="E131" s="33"/>
      <c r="F131" s="33"/>
      <c r="G131" s="33"/>
      <c r="H131" s="33"/>
      <c r="I131" s="33"/>
      <c r="J131" s="34"/>
      <c r="K131" s="34"/>
      <c r="L131" s="35" t="str">
        <f aca="false">IF($J131="","",$J131-IF($K131="",0,$K131))</f>
        <v/>
      </c>
      <c r="M131" s="36"/>
      <c r="N131" s="33"/>
      <c r="O131" s="33"/>
      <c r="P131" s="37"/>
      <c r="Q131" s="34"/>
      <c r="R131" s="34"/>
      <c r="S131" s="38" t="str">
        <f aca="false">IF(OR($Q131="",$R131="",$R131=0),"",$Q131/$R131)</f>
        <v/>
      </c>
      <c r="T131" s="18" t="str">
        <f aca="false">IF($S131="","",IF($S131&gt;=0.5,"PROCEDE BAJA","EVALUAR REPARACION"))</f>
        <v/>
      </c>
      <c r="U131" s="34"/>
      <c r="V131" s="33"/>
      <c r="W131" s="33"/>
      <c r="X131" s="33"/>
      <c r="Y131" s="33"/>
      <c r="Z131" s="33"/>
      <c r="AA131" s="33"/>
    </row>
    <row r="132" customFormat="false" ht="15" hidden="false" customHeight="false" outlineLevel="0" collapsed="false">
      <c r="A132" s="33"/>
      <c r="B132" s="33"/>
      <c r="C132" s="33"/>
      <c r="D132" s="33"/>
      <c r="E132" s="33"/>
      <c r="F132" s="33"/>
      <c r="G132" s="33"/>
      <c r="H132" s="33"/>
      <c r="I132" s="33"/>
      <c r="J132" s="34"/>
      <c r="K132" s="34"/>
      <c r="L132" s="35" t="str">
        <f aca="false">IF($J132="","",$J132-IF($K132="",0,$K132))</f>
        <v/>
      </c>
      <c r="M132" s="36"/>
      <c r="N132" s="33"/>
      <c r="O132" s="33"/>
      <c r="P132" s="37"/>
      <c r="Q132" s="34"/>
      <c r="R132" s="34"/>
      <c r="S132" s="38" t="str">
        <f aca="false">IF(OR($Q132="",$R132="",$R132=0),"",$Q132/$R132)</f>
        <v/>
      </c>
      <c r="T132" s="18" t="str">
        <f aca="false">IF($S132="","",IF($S132&gt;=0.5,"PROCEDE BAJA","EVALUAR REPARACION"))</f>
        <v/>
      </c>
      <c r="U132" s="34"/>
      <c r="V132" s="33"/>
      <c r="W132" s="33"/>
      <c r="X132" s="33"/>
      <c r="Y132" s="33"/>
      <c r="Z132" s="33"/>
      <c r="AA132" s="33"/>
    </row>
    <row r="133" customFormat="false" ht="15" hidden="false" customHeight="false" outlineLevel="0" collapsed="false">
      <c r="A133" s="33"/>
      <c r="B133" s="33"/>
      <c r="C133" s="33"/>
      <c r="D133" s="33"/>
      <c r="E133" s="33"/>
      <c r="F133" s="33"/>
      <c r="G133" s="33"/>
      <c r="H133" s="33"/>
      <c r="I133" s="33"/>
      <c r="J133" s="34"/>
      <c r="K133" s="34"/>
      <c r="L133" s="35" t="str">
        <f aca="false">IF($J133="","",$J133-IF($K133="",0,$K133))</f>
        <v/>
      </c>
      <c r="M133" s="36"/>
      <c r="N133" s="33"/>
      <c r="O133" s="33"/>
      <c r="P133" s="37"/>
      <c r="Q133" s="34"/>
      <c r="R133" s="34"/>
      <c r="S133" s="38" t="str">
        <f aca="false">IF(OR($Q133="",$R133="",$R133=0),"",$Q133/$R133)</f>
        <v/>
      </c>
      <c r="T133" s="18" t="str">
        <f aca="false">IF($S133="","",IF($S133&gt;=0.5,"PROCEDE BAJA","EVALUAR REPARACION"))</f>
        <v/>
      </c>
      <c r="U133" s="34"/>
      <c r="V133" s="33"/>
      <c r="W133" s="33"/>
      <c r="X133" s="33"/>
      <c r="Y133" s="33"/>
      <c r="Z133" s="33"/>
      <c r="AA133" s="33"/>
    </row>
    <row r="134" customFormat="false" ht="15" hidden="false" customHeight="false" outlineLevel="0" collapsed="false">
      <c r="A134" s="33"/>
      <c r="B134" s="33"/>
      <c r="C134" s="33"/>
      <c r="D134" s="33"/>
      <c r="E134" s="33"/>
      <c r="F134" s="33"/>
      <c r="G134" s="33"/>
      <c r="H134" s="33"/>
      <c r="I134" s="33"/>
      <c r="J134" s="34"/>
      <c r="K134" s="34"/>
      <c r="L134" s="35" t="str">
        <f aca="false">IF($J134="","",$J134-IF($K134="",0,$K134))</f>
        <v/>
      </c>
      <c r="M134" s="36"/>
      <c r="N134" s="33"/>
      <c r="O134" s="33"/>
      <c r="P134" s="37"/>
      <c r="Q134" s="34"/>
      <c r="R134" s="34"/>
      <c r="S134" s="38" t="str">
        <f aca="false">IF(OR($Q134="",$R134="",$R134=0),"",$Q134/$R134)</f>
        <v/>
      </c>
      <c r="T134" s="18" t="str">
        <f aca="false">IF($S134="","",IF($S134&gt;=0.5,"PROCEDE BAJA","EVALUAR REPARACION"))</f>
        <v/>
      </c>
      <c r="U134" s="34"/>
      <c r="V134" s="33"/>
      <c r="W134" s="33"/>
      <c r="X134" s="33"/>
      <c r="Y134" s="33"/>
      <c r="Z134" s="33"/>
      <c r="AA134" s="33"/>
    </row>
    <row r="135" customFormat="false" ht="15" hidden="false" customHeight="false" outlineLevel="0" collapsed="false">
      <c r="A135" s="33"/>
      <c r="B135" s="33"/>
      <c r="C135" s="33"/>
      <c r="D135" s="33"/>
      <c r="E135" s="33"/>
      <c r="F135" s="33"/>
      <c r="G135" s="33"/>
      <c r="H135" s="33"/>
      <c r="I135" s="33"/>
      <c r="J135" s="34"/>
      <c r="K135" s="34"/>
      <c r="L135" s="35" t="str">
        <f aca="false">IF($J135="","",$J135-IF($K135="",0,$K135))</f>
        <v/>
      </c>
      <c r="M135" s="36"/>
      <c r="N135" s="33"/>
      <c r="O135" s="33"/>
      <c r="P135" s="37"/>
      <c r="Q135" s="34"/>
      <c r="R135" s="34"/>
      <c r="S135" s="38" t="str">
        <f aca="false">IF(OR($Q135="",$R135="",$R135=0),"",$Q135/$R135)</f>
        <v/>
      </c>
      <c r="T135" s="18" t="str">
        <f aca="false">IF($S135="","",IF($S135&gt;=0.5,"PROCEDE BAJA","EVALUAR REPARACION"))</f>
        <v/>
      </c>
      <c r="U135" s="34"/>
      <c r="V135" s="33"/>
      <c r="W135" s="33"/>
      <c r="X135" s="33"/>
      <c r="Y135" s="33"/>
      <c r="Z135" s="33"/>
      <c r="AA135" s="33"/>
    </row>
    <row r="136" customFormat="false" ht="15" hidden="false" customHeight="false" outlineLevel="0" collapsed="false">
      <c r="A136" s="33"/>
      <c r="B136" s="33"/>
      <c r="C136" s="33"/>
      <c r="D136" s="33"/>
      <c r="E136" s="33"/>
      <c r="F136" s="33"/>
      <c r="G136" s="33"/>
      <c r="H136" s="33"/>
      <c r="I136" s="33"/>
      <c r="J136" s="34"/>
      <c r="K136" s="34"/>
      <c r="L136" s="35" t="str">
        <f aca="false">IF($J136="","",$J136-IF($K136="",0,$K136))</f>
        <v/>
      </c>
      <c r="M136" s="36"/>
      <c r="N136" s="33"/>
      <c r="O136" s="33"/>
      <c r="P136" s="37"/>
      <c r="Q136" s="34"/>
      <c r="R136" s="34"/>
      <c r="S136" s="38" t="str">
        <f aca="false">IF(OR($Q136="",$R136="",$R136=0),"",$Q136/$R136)</f>
        <v/>
      </c>
      <c r="T136" s="18" t="str">
        <f aca="false">IF($S136="","",IF($S136&gt;=0.5,"PROCEDE BAJA","EVALUAR REPARACION"))</f>
        <v/>
      </c>
      <c r="U136" s="34"/>
      <c r="V136" s="33"/>
      <c r="W136" s="33"/>
      <c r="X136" s="33"/>
      <c r="Y136" s="33"/>
      <c r="Z136" s="33"/>
      <c r="AA136" s="33"/>
    </row>
    <row r="137" customFormat="false" ht="15" hidden="false" customHeight="false" outlineLevel="0" collapsed="false">
      <c r="A137" s="33"/>
      <c r="B137" s="33"/>
      <c r="C137" s="33"/>
      <c r="D137" s="33"/>
      <c r="E137" s="33"/>
      <c r="F137" s="33"/>
      <c r="G137" s="33"/>
      <c r="H137" s="33"/>
      <c r="I137" s="33"/>
      <c r="J137" s="34"/>
      <c r="K137" s="34"/>
      <c r="L137" s="35" t="str">
        <f aca="false">IF($J137="","",$J137-IF($K137="",0,$K137))</f>
        <v/>
      </c>
      <c r="M137" s="36"/>
      <c r="N137" s="33"/>
      <c r="O137" s="33"/>
      <c r="P137" s="37"/>
      <c r="Q137" s="34"/>
      <c r="R137" s="34"/>
      <c r="S137" s="38" t="str">
        <f aca="false">IF(OR($Q137="",$R137="",$R137=0),"",$Q137/$R137)</f>
        <v/>
      </c>
      <c r="T137" s="18" t="str">
        <f aca="false">IF($S137="","",IF($S137&gt;=0.5,"PROCEDE BAJA","EVALUAR REPARACION"))</f>
        <v/>
      </c>
      <c r="U137" s="34"/>
      <c r="V137" s="33"/>
      <c r="W137" s="33"/>
      <c r="X137" s="33"/>
      <c r="Y137" s="33"/>
      <c r="Z137" s="33"/>
      <c r="AA137" s="33"/>
    </row>
    <row r="138" customFormat="false" ht="15" hidden="false" customHeight="false" outlineLevel="0" collapsed="false">
      <c r="A138" s="33"/>
      <c r="B138" s="33"/>
      <c r="C138" s="33"/>
      <c r="D138" s="33"/>
      <c r="E138" s="33"/>
      <c r="F138" s="33"/>
      <c r="G138" s="33"/>
      <c r="H138" s="33"/>
      <c r="I138" s="33"/>
      <c r="J138" s="34"/>
      <c r="K138" s="34"/>
      <c r="L138" s="35" t="str">
        <f aca="false">IF($J138="","",$J138-IF($K138="",0,$K138))</f>
        <v/>
      </c>
      <c r="M138" s="36"/>
      <c r="N138" s="33"/>
      <c r="O138" s="33"/>
      <c r="P138" s="37"/>
      <c r="Q138" s="34"/>
      <c r="R138" s="34"/>
      <c r="S138" s="38" t="str">
        <f aca="false">IF(OR($Q138="",$R138="",$R138=0),"",$Q138/$R138)</f>
        <v/>
      </c>
      <c r="T138" s="18" t="str">
        <f aca="false">IF($S138="","",IF($S138&gt;=0.5,"PROCEDE BAJA","EVALUAR REPARACION"))</f>
        <v/>
      </c>
      <c r="U138" s="34"/>
      <c r="V138" s="33"/>
      <c r="W138" s="33"/>
      <c r="X138" s="33"/>
      <c r="Y138" s="33"/>
      <c r="Z138" s="33"/>
      <c r="AA138" s="33"/>
    </row>
    <row r="139" customFormat="false" ht="15" hidden="false" customHeight="false" outlineLevel="0" collapsed="false">
      <c r="A139" s="33"/>
      <c r="B139" s="33"/>
      <c r="C139" s="33"/>
      <c r="D139" s="33"/>
      <c r="E139" s="33"/>
      <c r="F139" s="33"/>
      <c r="G139" s="33"/>
      <c r="H139" s="33"/>
      <c r="I139" s="33"/>
      <c r="J139" s="34"/>
      <c r="K139" s="34"/>
      <c r="L139" s="35" t="str">
        <f aca="false">IF($J139="","",$J139-IF($K139="",0,$K139))</f>
        <v/>
      </c>
      <c r="M139" s="36"/>
      <c r="N139" s="33"/>
      <c r="O139" s="33"/>
      <c r="P139" s="37"/>
      <c r="Q139" s="34"/>
      <c r="R139" s="34"/>
      <c r="S139" s="38" t="str">
        <f aca="false">IF(OR($Q139="",$R139="",$R139=0),"",$Q139/$R139)</f>
        <v/>
      </c>
      <c r="T139" s="18" t="str">
        <f aca="false">IF($S139="","",IF($S139&gt;=0.5,"PROCEDE BAJA","EVALUAR REPARACION"))</f>
        <v/>
      </c>
      <c r="U139" s="34"/>
      <c r="V139" s="33"/>
      <c r="W139" s="33"/>
      <c r="X139" s="33"/>
      <c r="Y139" s="33"/>
      <c r="Z139" s="33"/>
      <c r="AA139" s="33"/>
    </row>
    <row r="140" customFormat="false" ht="15" hidden="false" customHeight="false" outlineLevel="0" collapsed="false">
      <c r="A140" s="33"/>
      <c r="B140" s="33"/>
      <c r="C140" s="33"/>
      <c r="D140" s="33"/>
      <c r="E140" s="33"/>
      <c r="F140" s="33"/>
      <c r="G140" s="33"/>
      <c r="H140" s="33"/>
      <c r="I140" s="33"/>
      <c r="J140" s="34"/>
      <c r="K140" s="34"/>
      <c r="L140" s="35" t="str">
        <f aca="false">IF($J140="","",$J140-IF($K140="",0,$K140))</f>
        <v/>
      </c>
      <c r="M140" s="36"/>
      <c r="N140" s="33"/>
      <c r="O140" s="33"/>
      <c r="P140" s="37"/>
      <c r="Q140" s="34"/>
      <c r="R140" s="34"/>
      <c r="S140" s="38" t="str">
        <f aca="false">IF(OR($Q140="",$R140="",$R140=0),"",$Q140/$R140)</f>
        <v/>
      </c>
      <c r="T140" s="18" t="str">
        <f aca="false">IF($S140="","",IF($S140&gt;=0.5,"PROCEDE BAJA","EVALUAR REPARACION"))</f>
        <v/>
      </c>
      <c r="U140" s="34"/>
      <c r="V140" s="33"/>
      <c r="W140" s="33"/>
      <c r="X140" s="33"/>
      <c r="Y140" s="33"/>
      <c r="Z140" s="33"/>
      <c r="AA140" s="33"/>
    </row>
    <row r="141" customFormat="false" ht="15" hidden="false" customHeight="false" outlineLevel="0" collapsed="false">
      <c r="A141" s="33"/>
      <c r="B141" s="33"/>
      <c r="C141" s="33"/>
      <c r="D141" s="33"/>
      <c r="E141" s="33"/>
      <c r="F141" s="33"/>
      <c r="G141" s="33"/>
      <c r="H141" s="33"/>
      <c r="I141" s="33"/>
      <c r="J141" s="34"/>
      <c r="K141" s="34"/>
      <c r="L141" s="35" t="str">
        <f aca="false">IF($J141="","",$J141-IF($K141="",0,$K141))</f>
        <v/>
      </c>
      <c r="M141" s="36"/>
      <c r="N141" s="33"/>
      <c r="O141" s="33"/>
      <c r="P141" s="37"/>
      <c r="Q141" s="34"/>
      <c r="R141" s="34"/>
      <c r="S141" s="38" t="str">
        <f aca="false">IF(OR($Q141="",$R141="",$R141=0),"",$Q141/$R141)</f>
        <v/>
      </c>
      <c r="T141" s="18" t="str">
        <f aca="false">IF($S141="","",IF($S141&gt;=0.5,"PROCEDE BAJA","EVALUAR REPARACION"))</f>
        <v/>
      </c>
      <c r="U141" s="34"/>
      <c r="V141" s="33"/>
      <c r="W141" s="33"/>
      <c r="X141" s="33"/>
      <c r="Y141" s="33"/>
      <c r="Z141" s="33"/>
      <c r="AA141" s="33"/>
    </row>
    <row r="142" customFormat="false" ht="15" hidden="false" customHeight="false" outlineLevel="0" collapsed="false">
      <c r="A142" s="33"/>
      <c r="B142" s="33"/>
      <c r="C142" s="33"/>
      <c r="D142" s="33"/>
      <c r="E142" s="33"/>
      <c r="F142" s="33"/>
      <c r="G142" s="33"/>
      <c r="H142" s="33"/>
      <c r="I142" s="33"/>
      <c r="J142" s="34"/>
      <c r="K142" s="34"/>
      <c r="L142" s="35" t="str">
        <f aca="false">IF($J142="","",$J142-IF($K142="",0,$K142))</f>
        <v/>
      </c>
      <c r="M142" s="36"/>
      <c r="N142" s="33"/>
      <c r="O142" s="33"/>
      <c r="P142" s="37"/>
      <c r="Q142" s="34"/>
      <c r="R142" s="34"/>
      <c r="S142" s="38" t="str">
        <f aca="false">IF(OR($Q142="",$R142="",$R142=0),"",$Q142/$R142)</f>
        <v/>
      </c>
      <c r="T142" s="18" t="str">
        <f aca="false">IF($S142="","",IF($S142&gt;=0.5,"PROCEDE BAJA","EVALUAR REPARACION"))</f>
        <v/>
      </c>
      <c r="U142" s="34"/>
      <c r="V142" s="33"/>
      <c r="W142" s="33"/>
      <c r="X142" s="33"/>
      <c r="Y142" s="33"/>
      <c r="Z142" s="33"/>
      <c r="AA142" s="33"/>
    </row>
    <row r="143" customFormat="false" ht="15" hidden="false" customHeight="false" outlineLevel="0" collapsed="false">
      <c r="A143" s="33"/>
      <c r="B143" s="33"/>
      <c r="C143" s="33"/>
      <c r="D143" s="33"/>
      <c r="E143" s="33"/>
      <c r="F143" s="33"/>
      <c r="G143" s="33"/>
      <c r="H143" s="33"/>
      <c r="I143" s="33"/>
      <c r="J143" s="34"/>
      <c r="K143" s="34"/>
      <c r="L143" s="35" t="str">
        <f aca="false">IF($J143="","",$J143-IF($K143="",0,$K143))</f>
        <v/>
      </c>
      <c r="M143" s="36"/>
      <c r="N143" s="33"/>
      <c r="O143" s="33"/>
      <c r="P143" s="37"/>
      <c r="Q143" s="34"/>
      <c r="R143" s="34"/>
      <c r="S143" s="38" t="str">
        <f aca="false">IF(OR($Q143="",$R143="",$R143=0),"",$Q143/$R143)</f>
        <v/>
      </c>
      <c r="T143" s="18" t="str">
        <f aca="false">IF($S143="","",IF($S143&gt;=0.5,"PROCEDE BAJA","EVALUAR REPARACION"))</f>
        <v/>
      </c>
      <c r="U143" s="34"/>
      <c r="V143" s="33"/>
      <c r="W143" s="33"/>
      <c r="X143" s="33"/>
      <c r="Y143" s="33"/>
      <c r="Z143" s="33"/>
      <c r="AA143" s="33"/>
    </row>
    <row r="144" customFormat="false" ht="15" hidden="false" customHeight="false" outlineLevel="0" collapsed="false">
      <c r="A144" s="33"/>
      <c r="B144" s="33"/>
      <c r="C144" s="33"/>
      <c r="D144" s="33"/>
      <c r="E144" s="33"/>
      <c r="F144" s="33"/>
      <c r="G144" s="33"/>
      <c r="H144" s="33"/>
      <c r="I144" s="33"/>
      <c r="J144" s="34"/>
      <c r="K144" s="34"/>
      <c r="L144" s="35" t="str">
        <f aca="false">IF($J144="","",$J144-IF($K144="",0,$K144))</f>
        <v/>
      </c>
      <c r="M144" s="36"/>
      <c r="N144" s="33"/>
      <c r="O144" s="33"/>
      <c r="P144" s="37"/>
      <c r="Q144" s="34"/>
      <c r="R144" s="34"/>
      <c r="S144" s="38" t="str">
        <f aca="false">IF(OR($Q144="",$R144="",$R144=0),"",$Q144/$R144)</f>
        <v/>
      </c>
      <c r="T144" s="18" t="str">
        <f aca="false">IF($S144="","",IF($S144&gt;=0.5,"PROCEDE BAJA","EVALUAR REPARACION"))</f>
        <v/>
      </c>
      <c r="U144" s="34"/>
      <c r="V144" s="33"/>
      <c r="W144" s="33"/>
      <c r="X144" s="33"/>
      <c r="Y144" s="33"/>
      <c r="Z144" s="33"/>
      <c r="AA144" s="33"/>
    </row>
    <row r="145" customFormat="false" ht="15" hidden="false" customHeight="false" outlineLevel="0" collapsed="false">
      <c r="A145" s="33"/>
      <c r="B145" s="33"/>
      <c r="C145" s="33"/>
      <c r="D145" s="33"/>
      <c r="E145" s="33"/>
      <c r="F145" s="33"/>
      <c r="G145" s="33"/>
      <c r="H145" s="33"/>
      <c r="I145" s="33"/>
      <c r="J145" s="34"/>
      <c r="K145" s="34"/>
      <c r="L145" s="35" t="str">
        <f aca="false">IF($J145="","",$J145-IF($K145="",0,$K145))</f>
        <v/>
      </c>
      <c r="M145" s="36"/>
      <c r="N145" s="33"/>
      <c r="O145" s="33"/>
      <c r="P145" s="37"/>
      <c r="Q145" s="34"/>
      <c r="R145" s="34"/>
      <c r="S145" s="38" t="str">
        <f aca="false">IF(OR($Q145="",$R145="",$R145=0),"",$Q145/$R145)</f>
        <v/>
      </c>
      <c r="T145" s="18" t="str">
        <f aca="false">IF($S145="","",IF($S145&gt;=0.5,"PROCEDE BAJA","EVALUAR REPARACION"))</f>
        <v/>
      </c>
      <c r="U145" s="34"/>
      <c r="V145" s="33"/>
      <c r="W145" s="33"/>
      <c r="X145" s="33"/>
      <c r="Y145" s="33"/>
      <c r="Z145" s="33"/>
      <c r="AA145" s="33"/>
    </row>
    <row r="146" customFormat="false" ht="15" hidden="false" customHeight="false" outlineLevel="0" collapsed="false">
      <c r="A146" s="33"/>
      <c r="B146" s="33"/>
      <c r="C146" s="33"/>
      <c r="D146" s="33"/>
      <c r="E146" s="33"/>
      <c r="F146" s="33"/>
      <c r="G146" s="33"/>
      <c r="H146" s="33"/>
      <c r="I146" s="33"/>
      <c r="J146" s="34"/>
      <c r="K146" s="34"/>
      <c r="L146" s="35" t="str">
        <f aca="false">IF($J146="","",$J146-IF($K146="",0,$K146))</f>
        <v/>
      </c>
      <c r="M146" s="36"/>
      <c r="N146" s="33"/>
      <c r="O146" s="33"/>
      <c r="P146" s="37"/>
      <c r="Q146" s="34"/>
      <c r="R146" s="34"/>
      <c r="S146" s="38" t="str">
        <f aca="false">IF(OR($Q146="",$R146="",$R146=0),"",$Q146/$R146)</f>
        <v/>
      </c>
      <c r="T146" s="18" t="str">
        <f aca="false">IF($S146="","",IF($S146&gt;=0.5,"PROCEDE BAJA","EVALUAR REPARACION"))</f>
        <v/>
      </c>
      <c r="U146" s="34"/>
      <c r="V146" s="33"/>
      <c r="W146" s="33"/>
      <c r="X146" s="33"/>
      <c r="Y146" s="33"/>
      <c r="Z146" s="33"/>
      <c r="AA146" s="33"/>
    </row>
    <row r="147" customFormat="false" ht="15" hidden="false" customHeight="false" outlineLevel="0" collapsed="false">
      <c r="A147" s="33"/>
      <c r="B147" s="33"/>
      <c r="C147" s="33"/>
      <c r="D147" s="33"/>
      <c r="E147" s="33"/>
      <c r="F147" s="33"/>
      <c r="G147" s="33"/>
      <c r="H147" s="33"/>
      <c r="I147" s="33"/>
      <c r="J147" s="34"/>
      <c r="K147" s="34"/>
      <c r="L147" s="35" t="str">
        <f aca="false">IF($J147="","",$J147-IF($K147="",0,$K147))</f>
        <v/>
      </c>
      <c r="M147" s="36"/>
      <c r="N147" s="33"/>
      <c r="O147" s="33"/>
      <c r="P147" s="37"/>
      <c r="Q147" s="34"/>
      <c r="R147" s="34"/>
      <c r="S147" s="38" t="str">
        <f aca="false">IF(OR($Q147="",$R147="",$R147=0),"",$Q147/$R147)</f>
        <v/>
      </c>
      <c r="T147" s="18" t="str">
        <f aca="false">IF($S147="","",IF($S147&gt;=0.5,"PROCEDE BAJA","EVALUAR REPARACION"))</f>
        <v/>
      </c>
      <c r="U147" s="34"/>
      <c r="V147" s="33"/>
      <c r="W147" s="33"/>
      <c r="X147" s="33"/>
      <c r="Y147" s="33"/>
      <c r="Z147" s="33"/>
      <c r="AA147" s="33"/>
    </row>
    <row r="148" customFormat="false" ht="15" hidden="false" customHeight="false" outlineLevel="0" collapsed="false">
      <c r="A148" s="33"/>
      <c r="B148" s="33"/>
      <c r="C148" s="33"/>
      <c r="D148" s="33"/>
      <c r="E148" s="33"/>
      <c r="F148" s="33"/>
      <c r="G148" s="33"/>
      <c r="H148" s="33"/>
      <c r="I148" s="33"/>
      <c r="J148" s="34"/>
      <c r="K148" s="34"/>
      <c r="L148" s="35" t="str">
        <f aca="false">IF($J148="","",$J148-IF($K148="",0,$K148))</f>
        <v/>
      </c>
      <c r="M148" s="36"/>
      <c r="N148" s="33"/>
      <c r="O148" s="33"/>
      <c r="P148" s="37"/>
      <c r="Q148" s="34"/>
      <c r="R148" s="34"/>
      <c r="S148" s="38" t="str">
        <f aca="false">IF(OR($Q148="",$R148="",$R148=0),"",$Q148/$R148)</f>
        <v/>
      </c>
      <c r="T148" s="18" t="str">
        <f aca="false">IF($S148="","",IF($S148&gt;=0.5,"PROCEDE BAJA","EVALUAR REPARACION"))</f>
        <v/>
      </c>
      <c r="U148" s="34"/>
      <c r="V148" s="33"/>
      <c r="W148" s="33"/>
      <c r="X148" s="33"/>
      <c r="Y148" s="33"/>
      <c r="Z148" s="33"/>
      <c r="AA148" s="33"/>
    </row>
    <row r="149" customFormat="false" ht="15" hidden="false" customHeight="false" outlineLevel="0" collapsed="false">
      <c r="A149" s="33"/>
      <c r="B149" s="33"/>
      <c r="C149" s="33"/>
      <c r="D149" s="33"/>
      <c r="E149" s="33"/>
      <c r="F149" s="33"/>
      <c r="G149" s="33"/>
      <c r="H149" s="33"/>
      <c r="I149" s="33"/>
      <c r="J149" s="34"/>
      <c r="K149" s="34"/>
      <c r="L149" s="35" t="str">
        <f aca="false">IF($J149="","",$J149-IF($K149="",0,$K149))</f>
        <v/>
      </c>
      <c r="M149" s="36"/>
      <c r="N149" s="33"/>
      <c r="O149" s="33"/>
      <c r="P149" s="37"/>
      <c r="Q149" s="34"/>
      <c r="R149" s="34"/>
      <c r="S149" s="38" t="str">
        <f aca="false">IF(OR($Q149="",$R149="",$R149=0),"",$Q149/$R149)</f>
        <v/>
      </c>
      <c r="T149" s="18" t="str">
        <f aca="false">IF($S149="","",IF($S149&gt;=0.5,"PROCEDE BAJA","EVALUAR REPARACION"))</f>
        <v/>
      </c>
      <c r="U149" s="34"/>
      <c r="V149" s="33"/>
      <c r="W149" s="33"/>
      <c r="X149" s="33"/>
      <c r="Y149" s="33"/>
      <c r="Z149" s="33"/>
      <c r="AA149" s="33"/>
    </row>
    <row r="150" customFormat="false" ht="15" hidden="false" customHeight="false" outlineLevel="0" collapsed="false">
      <c r="A150" s="33"/>
      <c r="B150" s="33"/>
      <c r="C150" s="33"/>
      <c r="D150" s="33"/>
      <c r="E150" s="33"/>
      <c r="F150" s="33"/>
      <c r="G150" s="33"/>
      <c r="H150" s="33"/>
      <c r="I150" s="33"/>
      <c r="J150" s="34"/>
      <c r="K150" s="34"/>
      <c r="L150" s="35" t="str">
        <f aca="false">IF($J150="","",$J150-IF($K150="",0,$K150))</f>
        <v/>
      </c>
      <c r="M150" s="36"/>
      <c r="N150" s="33"/>
      <c r="O150" s="33"/>
      <c r="P150" s="37"/>
      <c r="Q150" s="34"/>
      <c r="R150" s="34"/>
      <c r="S150" s="38" t="str">
        <f aca="false">IF(OR($Q150="",$R150="",$R150=0),"",$Q150/$R150)</f>
        <v/>
      </c>
      <c r="T150" s="18" t="str">
        <f aca="false">IF($S150="","",IF($S150&gt;=0.5,"PROCEDE BAJA","EVALUAR REPARACION"))</f>
        <v/>
      </c>
      <c r="U150" s="34"/>
      <c r="V150" s="33"/>
      <c r="W150" s="33"/>
      <c r="X150" s="33"/>
      <c r="Y150" s="33"/>
      <c r="Z150" s="33"/>
      <c r="AA150" s="33"/>
    </row>
    <row r="151" customFormat="false" ht="15" hidden="false" customHeight="false" outlineLevel="0" collapsed="false">
      <c r="A151" s="33"/>
      <c r="B151" s="33"/>
      <c r="C151" s="33"/>
      <c r="D151" s="33"/>
      <c r="E151" s="33"/>
      <c r="F151" s="33"/>
      <c r="G151" s="33"/>
      <c r="H151" s="33"/>
      <c r="I151" s="33"/>
      <c r="J151" s="34"/>
      <c r="K151" s="34"/>
      <c r="L151" s="35" t="str">
        <f aca="false">IF($J151="","",$J151-IF($K151="",0,$K151))</f>
        <v/>
      </c>
      <c r="M151" s="36"/>
      <c r="N151" s="33"/>
      <c r="O151" s="33"/>
      <c r="P151" s="37"/>
      <c r="Q151" s="34"/>
      <c r="R151" s="34"/>
      <c r="S151" s="38" t="str">
        <f aca="false">IF(OR($Q151="",$R151="",$R151=0),"",$Q151/$R151)</f>
        <v/>
      </c>
      <c r="T151" s="18" t="str">
        <f aca="false">IF($S151="","",IF($S151&gt;=0.5,"PROCEDE BAJA","EVALUAR REPARACION"))</f>
        <v/>
      </c>
      <c r="U151" s="34"/>
      <c r="V151" s="33"/>
      <c r="W151" s="33"/>
      <c r="X151" s="33"/>
      <c r="Y151" s="33"/>
      <c r="Z151" s="33"/>
      <c r="AA151" s="33"/>
    </row>
    <row r="152" customFormat="false" ht="15" hidden="false" customHeight="false" outlineLevel="0" collapsed="false">
      <c r="A152" s="33"/>
      <c r="B152" s="33"/>
      <c r="C152" s="33"/>
      <c r="D152" s="33"/>
      <c r="E152" s="33"/>
      <c r="F152" s="33"/>
      <c r="G152" s="33"/>
      <c r="H152" s="33"/>
      <c r="I152" s="33"/>
      <c r="J152" s="34"/>
      <c r="K152" s="34"/>
      <c r="L152" s="35" t="str">
        <f aca="false">IF($J152="","",$J152-IF($K152="",0,$K152))</f>
        <v/>
      </c>
      <c r="M152" s="36"/>
      <c r="N152" s="33"/>
      <c r="O152" s="33"/>
      <c r="P152" s="37"/>
      <c r="Q152" s="34"/>
      <c r="R152" s="34"/>
      <c r="S152" s="38" t="str">
        <f aca="false">IF(OR($Q152="",$R152="",$R152=0),"",$Q152/$R152)</f>
        <v/>
      </c>
      <c r="T152" s="18" t="str">
        <f aca="false">IF($S152="","",IF($S152&gt;=0.5,"PROCEDE BAJA","EVALUAR REPARACION"))</f>
        <v/>
      </c>
      <c r="U152" s="34"/>
      <c r="V152" s="33"/>
      <c r="W152" s="33"/>
      <c r="X152" s="33"/>
      <c r="Y152" s="33"/>
      <c r="Z152" s="33"/>
      <c r="AA152" s="33"/>
    </row>
    <row r="153" customFormat="false" ht="15" hidden="false" customHeight="false" outlineLevel="0" collapsed="false">
      <c r="A153" s="33"/>
      <c r="B153" s="33"/>
      <c r="C153" s="33"/>
      <c r="D153" s="33"/>
      <c r="E153" s="33"/>
      <c r="F153" s="33"/>
      <c r="G153" s="33"/>
      <c r="H153" s="33"/>
      <c r="I153" s="33"/>
      <c r="J153" s="34"/>
      <c r="K153" s="34"/>
      <c r="L153" s="35" t="str">
        <f aca="false">IF($J153="","",$J153-IF($K153="",0,$K153))</f>
        <v/>
      </c>
      <c r="M153" s="36"/>
      <c r="N153" s="33"/>
      <c r="O153" s="33"/>
      <c r="P153" s="37"/>
      <c r="Q153" s="34"/>
      <c r="R153" s="34"/>
      <c r="S153" s="38" t="str">
        <f aca="false">IF(OR($Q153="",$R153="",$R153=0),"",$Q153/$R153)</f>
        <v/>
      </c>
      <c r="T153" s="18" t="str">
        <f aca="false">IF($S153="","",IF($S153&gt;=0.5,"PROCEDE BAJA","EVALUAR REPARACION"))</f>
        <v/>
      </c>
      <c r="U153" s="34"/>
      <c r="V153" s="33"/>
      <c r="W153" s="33"/>
      <c r="X153" s="33"/>
      <c r="Y153" s="33"/>
      <c r="Z153" s="33"/>
      <c r="AA153" s="33"/>
    </row>
    <row r="154" customFormat="false" ht="15" hidden="false" customHeight="false" outlineLevel="0" collapsed="false">
      <c r="A154" s="33"/>
      <c r="B154" s="33"/>
      <c r="C154" s="33"/>
      <c r="D154" s="33"/>
      <c r="E154" s="33"/>
      <c r="F154" s="33"/>
      <c r="G154" s="33"/>
      <c r="H154" s="33"/>
      <c r="I154" s="33"/>
      <c r="J154" s="34"/>
      <c r="K154" s="34"/>
      <c r="L154" s="35" t="str">
        <f aca="false">IF($J154="","",$J154-IF($K154="",0,$K154))</f>
        <v/>
      </c>
      <c r="M154" s="36"/>
      <c r="N154" s="33"/>
      <c r="O154" s="33"/>
      <c r="P154" s="37"/>
      <c r="Q154" s="34"/>
      <c r="R154" s="34"/>
      <c r="S154" s="38" t="str">
        <f aca="false">IF(OR($Q154="",$R154="",$R154=0),"",$Q154/$R154)</f>
        <v/>
      </c>
      <c r="T154" s="18" t="str">
        <f aca="false">IF($S154="","",IF($S154&gt;=0.5,"PROCEDE BAJA","EVALUAR REPARACION"))</f>
        <v/>
      </c>
      <c r="U154" s="34"/>
      <c r="V154" s="33"/>
      <c r="W154" s="33"/>
      <c r="X154" s="33"/>
      <c r="Y154" s="33"/>
      <c r="Z154" s="33"/>
      <c r="AA154" s="33"/>
    </row>
    <row r="155" customFormat="false" ht="15" hidden="false" customHeight="false" outlineLevel="0" collapsed="false">
      <c r="A155" s="33"/>
      <c r="B155" s="33"/>
      <c r="C155" s="33"/>
      <c r="D155" s="33"/>
      <c r="E155" s="33"/>
      <c r="F155" s="33"/>
      <c r="G155" s="33"/>
      <c r="H155" s="33"/>
      <c r="I155" s="33"/>
      <c r="J155" s="34"/>
      <c r="K155" s="34"/>
      <c r="L155" s="35" t="str">
        <f aca="false">IF($J155="","",$J155-IF($K155="",0,$K155))</f>
        <v/>
      </c>
      <c r="M155" s="36"/>
      <c r="N155" s="33"/>
      <c r="O155" s="33"/>
      <c r="P155" s="37"/>
      <c r="Q155" s="34"/>
      <c r="R155" s="34"/>
      <c r="S155" s="38" t="str">
        <f aca="false">IF(OR($Q155="",$R155="",$R155=0),"",$Q155/$R155)</f>
        <v/>
      </c>
      <c r="T155" s="18" t="str">
        <f aca="false">IF($S155="","",IF($S155&gt;=0.5,"PROCEDE BAJA","EVALUAR REPARACION"))</f>
        <v/>
      </c>
      <c r="U155" s="34"/>
      <c r="V155" s="33"/>
      <c r="W155" s="33"/>
      <c r="X155" s="33"/>
      <c r="Y155" s="33"/>
      <c r="Z155" s="33"/>
      <c r="AA155" s="33"/>
    </row>
    <row r="156" customFormat="false" ht="15" hidden="false" customHeight="false" outlineLevel="0" collapsed="false">
      <c r="A156" s="33"/>
      <c r="B156" s="33"/>
      <c r="C156" s="33"/>
      <c r="D156" s="33"/>
      <c r="E156" s="33"/>
      <c r="F156" s="33"/>
      <c r="G156" s="33"/>
      <c r="H156" s="33"/>
      <c r="I156" s="33"/>
      <c r="J156" s="34"/>
      <c r="K156" s="34"/>
      <c r="L156" s="35" t="str">
        <f aca="false">IF($J156="","",$J156-IF($K156="",0,$K156))</f>
        <v/>
      </c>
      <c r="M156" s="36"/>
      <c r="N156" s="33"/>
      <c r="O156" s="33"/>
      <c r="P156" s="37"/>
      <c r="Q156" s="34"/>
      <c r="R156" s="34"/>
      <c r="S156" s="38" t="str">
        <f aca="false">IF(OR($Q156="",$R156="",$R156=0),"",$Q156/$R156)</f>
        <v/>
      </c>
      <c r="T156" s="18" t="str">
        <f aca="false">IF($S156="","",IF($S156&gt;=0.5,"PROCEDE BAJA","EVALUAR REPARACION"))</f>
        <v/>
      </c>
      <c r="U156" s="34"/>
      <c r="V156" s="33"/>
      <c r="W156" s="33"/>
      <c r="X156" s="33"/>
      <c r="Y156" s="33"/>
      <c r="Z156" s="33"/>
      <c r="AA156" s="33"/>
    </row>
    <row r="157" customFormat="false" ht="15" hidden="false" customHeight="false" outlineLevel="0" collapsed="false">
      <c r="A157" s="33"/>
      <c r="B157" s="33"/>
      <c r="C157" s="33"/>
      <c r="D157" s="33"/>
      <c r="E157" s="33"/>
      <c r="F157" s="33"/>
      <c r="G157" s="33"/>
      <c r="H157" s="33"/>
      <c r="I157" s="33"/>
      <c r="J157" s="34"/>
      <c r="K157" s="34"/>
      <c r="L157" s="35" t="str">
        <f aca="false">IF($J157="","",$J157-IF($K157="",0,$K157))</f>
        <v/>
      </c>
      <c r="M157" s="36"/>
      <c r="N157" s="33"/>
      <c r="O157" s="33"/>
      <c r="P157" s="37"/>
      <c r="Q157" s="34"/>
      <c r="R157" s="34"/>
      <c r="S157" s="38" t="str">
        <f aca="false">IF(OR($Q157="",$R157="",$R157=0),"",$Q157/$R157)</f>
        <v/>
      </c>
      <c r="T157" s="18" t="str">
        <f aca="false">IF($S157="","",IF($S157&gt;=0.5,"PROCEDE BAJA","EVALUAR REPARACION"))</f>
        <v/>
      </c>
      <c r="U157" s="34"/>
      <c r="V157" s="33"/>
      <c r="W157" s="33"/>
      <c r="X157" s="33"/>
      <c r="Y157" s="33"/>
      <c r="Z157" s="33"/>
      <c r="AA157" s="33"/>
    </row>
  </sheetData>
  <mergeCells count="2">
    <mergeCell ref="A1:AA1"/>
    <mergeCell ref="A2:AA2"/>
  </mergeCells>
  <dataValidations count="4">
    <dataValidation allowBlank="true" error="Seleccione un valor de la lista desplegable." errorStyle="stop" errorTitle="Valor no permitido" operator="between" showDropDown="false" showErrorMessage="true" showInputMessage="false" sqref="N7:N157" type="list">
      <formula1>"BUENO,REGULAR,MALO,INSERVIBLE"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O7:O157" type="list">
      <formula1>"OBSOLESCENCIA,INSERVIBLE,CASO_FORTUITO,DESUSO,DONACION_O_TRASLADO"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V7:V157" type="list">
      <formula1>"VENTA,REMATE,DESTRUCCION,DONACION,RECICLAJE_RAEE,GESTOR_AMBIENTAL"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Y7:Y157" type="list">
      <formula1>"PROPUESTO,EN_REVISION,APROBADO_COMITE,RECHAZADO,RESOLUCION_EMITIDA,EJECUTADO"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6" min="4" style="1" width="16"/>
    <col collapsed="false" customWidth="true" hidden="false" outlineLevel="0" max="8" min="7" style="1" width="22"/>
    <col collapsed="false" customWidth="true" hidden="false" outlineLevel="0" max="9" min="9" style="1" width="14"/>
    <col collapsed="false" customWidth="true" hidden="false" outlineLevel="0" max="12" min="10" style="1" width="16"/>
    <col collapsed="false" customWidth="true" hidden="false" outlineLevel="0" max="14" min="13" style="1" width="13"/>
    <col collapsed="false" customWidth="true" hidden="false" outlineLevel="0" max="15" min="15" style="1" width="22"/>
    <col collapsed="false" customWidth="true" hidden="false" outlineLevel="0" max="16" min="16" style="1" width="44"/>
    <col collapsed="false" customWidth="true" hidden="false" outlineLevel="0" max="18" min="17" style="1" width="16"/>
    <col collapsed="false" customWidth="true" hidden="false" outlineLevel="0" max="19" min="19" style="1" width="14"/>
    <col collapsed="false" customWidth="true" hidden="false" outlineLevel="0" max="20" min="20" style="1" width="18"/>
    <col collapsed="false" customWidth="true" hidden="false" outlineLevel="0" max="21" min="21" style="1" width="14"/>
    <col collapsed="false" customWidth="true" hidden="false" outlineLevel="0" max="22" min="22" style="1" width="22"/>
    <col collapsed="false" customWidth="true" hidden="false" outlineLevel="0" max="23" min="23" style="1" width="24"/>
    <col collapsed="false" customWidth="true" hidden="false" outlineLevel="0" max="24" min="24" style="1" width="28"/>
    <col collapsed="false" customWidth="true" hidden="false" outlineLevel="0" max="25" min="25" style="1" width="22"/>
    <col collapsed="false" customWidth="true" hidden="false" outlineLevel="0" max="27" min="26" style="1" width="18"/>
  </cols>
  <sheetData>
    <row r="1" customFormat="false" ht="15" hidden="false" customHeight="false" outlineLevel="0" collapsed="false">
      <c r="A1" s="21" t="s">
        <v>108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customFormat="false" ht="15" hidden="false" customHeight="false" outlineLevel="0" collapsed="false">
      <c r="A2" s="22" t="s">
        <v>136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customFormat="false" ht="15" hidden="false" customHeight="false" outlineLevel="0" collapsed="false">
      <c r="A3" s="3" t="s">
        <v>110</v>
      </c>
      <c r="B3" s="23" t="s">
        <v>111</v>
      </c>
      <c r="D3" s="3" t="s">
        <v>112</v>
      </c>
      <c r="E3" s="24"/>
    </row>
    <row r="4" customFormat="false" ht="15" hidden="false" customHeight="false" outlineLevel="0" collapsed="false">
      <c r="A4" s="25" t="s">
        <v>113</v>
      </c>
    </row>
    <row r="6" customFormat="false" ht="33.75" hidden="false" customHeight="true" outlineLevel="0" collapsed="false">
      <c r="A6" s="26" t="s">
        <v>44</v>
      </c>
      <c r="B6" s="26" t="s">
        <v>47</v>
      </c>
      <c r="C6" s="26" t="s">
        <v>49</v>
      </c>
      <c r="D6" s="26" t="s">
        <v>50</v>
      </c>
      <c r="E6" s="26" t="s">
        <v>51</v>
      </c>
      <c r="F6" s="26" t="s">
        <v>52</v>
      </c>
      <c r="G6" s="26" t="s">
        <v>53</v>
      </c>
      <c r="H6" s="26" t="s">
        <v>54</v>
      </c>
      <c r="I6" s="26" t="s">
        <v>55</v>
      </c>
      <c r="J6" s="26" t="s">
        <v>56</v>
      </c>
      <c r="K6" s="26" t="s">
        <v>58</v>
      </c>
      <c r="L6" s="27" t="s">
        <v>60</v>
      </c>
      <c r="M6" s="26" t="s">
        <v>63</v>
      </c>
      <c r="N6" s="26" t="s">
        <v>66</v>
      </c>
      <c r="O6" s="26" t="s">
        <v>67</v>
      </c>
      <c r="P6" s="26" t="s">
        <v>69</v>
      </c>
      <c r="Q6" s="26" t="s">
        <v>71</v>
      </c>
      <c r="R6" s="26" t="s">
        <v>73</v>
      </c>
      <c r="S6" s="27" t="s">
        <v>75</v>
      </c>
      <c r="T6" s="27" t="s">
        <v>77</v>
      </c>
      <c r="U6" s="26" t="s">
        <v>79</v>
      </c>
      <c r="V6" s="26" t="s">
        <v>81</v>
      </c>
      <c r="W6" s="26" t="s">
        <v>83</v>
      </c>
      <c r="X6" s="26" t="s">
        <v>85</v>
      </c>
      <c r="Y6" s="26" t="s">
        <v>87</v>
      </c>
      <c r="Z6" s="26" t="s">
        <v>89</v>
      </c>
      <c r="AA6" s="26" t="s">
        <v>91</v>
      </c>
    </row>
    <row r="7" customFormat="false" ht="22.35" hidden="false" customHeight="false" outlineLevel="0" collapsed="false">
      <c r="A7" s="28" t="s">
        <v>114</v>
      </c>
      <c r="B7" s="28" t="s">
        <v>115</v>
      </c>
      <c r="C7" s="28" t="s">
        <v>116</v>
      </c>
      <c r="D7" s="28" t="s">
        <v>117</v>
      </c>
      <c r="E7" s="28" t="s">
        <v>118</v>
      </c>
      <c r="F7" s="28" t="s">
        <v>119</v>
      </c>
      <c r="G7" s="28" t="s">
        <v>120</v>
      </c>
      <c r="H7" s="28" t="s">
        <v>121</v>
      </c>
      <c r="I7" s="28" t="s">
        <v>122</v>
      </c>
      <c r="J7" s="29" t="n">
        <v>490000</v>
      </c>
      <c r="K7" s="29" t="n">
        <v>338333</v>
      </c>
      <c r="L7" s="29" t="n">
        <f aca="false">IF($J7="","",$J7-IF($K7="",0,$K7))</f>
        <v>151667</v>
      </c>
      <c r="M7" s="30" t="n">
        <v>0.6926</v>
      </c>
      <c r="N7" s="28" t="s">
        <v>123</v>
      </c>
      <c r="O7" s="28" t="s">
        <v>137</v>
      </c>
      <c r="P7" s="31" t="s">
        <v>138</v>
      </c>
      <c r="Q7" s="29" t="n">
        <v>900000</v>
      </c>
      <c r="R7" s="29" t="n">
        <v>1500000</v>
      </c>
      <c r="S7" s="32" t="n">
        <f aca="false">IF(OR($Q7="",$R7="",$R7=0),"",$Q7/$R7)</f>
        <v>0.6</v>
      </c>
      <c r="T7" s="28" t="str">
        <f aca="false">IF($S7="","",IF($S7&gt;=0.5,"PROCEDE BAJA","EVALUAR REPARACION"))</f>
        <v>PROCEDE BAJA</v>
      </c>
      <c r="U7" s="29" t="n">
        <v>0</v>
      </c>
      <c r="V7" s="28" t="s">
        <v>126</v>
      </c>
      <c r="W7" s="28" t="s">
        <v>127</v>
      </c>
      <c r="X7" s="28" t="s">
        <v>128</v>
      </c>
      <c r="Y7" s="28" t="s">
        <v>129</v>
      </c>
      <c r="Z7" s="28"/>
      <c r="AA7" s="28"/>
    </row>
    <row r="8" customFormat="false" ht="15" hidden="false" customHeight="false" outlineLevel="0" collapsed="false">
      <c r="A8" s="33"/>
      <c r="B8" s="33"/>
      <c r="C8" s="33"/>
      <c r="D8" s="33"/>
      <c r="E8" s="33"/>
      <c r="F8" s="33"/>
      <c r="G8" s="33"/>
      <c r="H8" s="33"/>
      <c r="I8" s="33"/>
      <c r="J8" s="34"/>
      <c r="K8" s="34"/>
      <c r="L8" s="35" t="str">
        <f aca="false">IF($J8="","",$J8-IF($K8="",0,$K8))</f>
        <v/>
      </c>
      <c r="M8" s="36"/>
      <c r="N8" s="33"/>
      <c r="O8" s="33"/>
      <c r="P8" s="37"/>
      <c r="Q8" s="34"/>
      <c r="R8" s="34"/>
      <c r="S8" s="38" t="str">
        <f aca="false">IF(OR($Q8="",$R8="",$R8=0),"",$Q8/$R8)</f>
        <v/>
      </c>
      <c r="T8" s="18" t="str">
        <f aca="false">IF($S8="","",IF($S8&gt;=0.5,"PROCEDE BAJA","EVALUAR REPARACION"))</f>
        <v/>
      </c>
      <c r="U8" s="34"/>
      <c r="V8" s="33"/>
      <c r="W8" s="33"/>
      <c r="X8" s="33"/>
      <c r="Y8" s="33"/>
      <c r="Z8" s="33"/>
      <c r="AA8" s="33"/>
    </row>
    <row r="9" customFormat="false" ht="15" hidden="false" customHeight="false" outlineLevel="0" collapsed="false">
      <c r="A9" s="33"/>
      <c r="B9" s="33"/>
      <c r="C9" s="33"/>
      <c r="D9" s="33"/>
      <c r="E9" s="33"/>
      <c r="F9" s="33"/>
      <c r="G9" s="33"/>
      <c r="H9" s="33"/>
      <c r="I9" s="33"/>
      <c r="J9" s="34"/>
      <c r="K9" s="34"/>
      <c r="L9" s="35" t="str">
        <f aca="false">IF($J9="","",$J9-IF($K9="",0,$K9))</f>
        <v/>
      </c>
      <c r="M9" s="36"/>
      <c r="N9" s="33"/>
      <c r="O9" s="33"/>
      <c r="P9" s="37"/>
      <c r="Q9" s="34"/>
      <c r="R9" s="34"/>
      <c r="S9" s="38" t="str">
        <f aca="false">IF(OR($Q9="",$R9="",$R9=0),"",$Q9/$R9)</f>
        <v/>
      </c>
      <c r="T9" s="18" t="str">
        <f aca="false">IF($S9="","",IF($S9&gt;=0.5,"PROCEDE BAJA","EVALUAR REPARACION"))</f>
        <v/>
      </c>
      <c r="U9" s="34"/>
      <c r="V9" s="33"/>
      <c r="W9" s="33"/>
      <c r="X9" s="33"/>
      <c r="Y9" s="33"/>
      <c r="Z9" s="33"/>
      <c r="AA9" s="33"/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3"/>
      <c r="G10" s="33"/>
      <c r="H10" s="33"/>
      <c r="I10" s="33"/>
      <c r="J10" s="34"/>
      <c r="K10" s="34"/>
      <c r="L10" s="35" t="str">
        <f aca="false">IF($J10="","",$J10-IF($K10="",0,$K10))</f>
        <v/>
      </c>
      <c r="M10" s="36"/>
      <c r="N10" s="33"/>
      <c r="O10" s="33"/>
      <c r="P10" s="37"/>
      <c r="Q10" s="34"/>
      <c r="R10" s="34"/>
      <c r="S10" s="38" t="str">
        <f aca="false">IF(OR($Q10="",$R10="",$R10=0),"",$Q10/$R10)</f>
        <v/>
      </c>
      <c r="T10" s="18" t="str">
        <f aca="false">IF($S10="","",IF($S10&gt;=0.5,"PROCEDE BAJA","EVALUAR REPARACION"))</f>
        <v/>
      </c>
      <c r="U10" s="34"/>
      <c r="V10" s="33"/>
      <c r="W10" s="33"/>
      <c r="X10" s="33"/>
      <c r="Y10" s="33"/>
      <c r="Z10" s="33"/>
      <c r="AA10" s="33"/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3"/>
      <c r="G11" s="33"/>
      <c r="H11" s="33"/>
      <c r="I11" s="33"/>
      <c r="J11" s="34"/>
      <c r="K11" s="34"/>
      <c r="L11" s="35" t="str">
        <f aca="false">IF($J11="","",$J11-IF($K11="",0,$K11))</f>
        <v/>
      </c>
      <c r="M11" s="36"/>
      <c r="N11" s="33"/>
      <c r="O11" s="33"/>
      <c r="P11" s="37"/>
      <c r="Q11" s="34"/>
      <c r="R11" s="34"/>
      <c r="S11" s="38" t="str">
        <f aca="false">IF(OR($Q11="",$R11="",$R11=0),"",$Q11/$R11)</f>
        <v/>
      </c>
      <c r="T11" s="18" t="str">
        <f aca="false">IF($S11="","",IF($S11&gt;=0.5,"PROCEDE BAJA","EVALUAR REPARACION"))</f>
        <v/>
      </c>
      <c r="U11" s="34"/>
      <c r="V11" s="33"/>
      <c r="W11" s="33"/>
      <c r="X11" s="33"/>
      <c r="Y11" s="33"/>
      <c r="Z11" s="33"/>
      <c r="AA11" s="33"/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3"/>
      <c r="G12" s="33"/>
      <c r="H12" s="33"/>
      <c r="I12" s="33"/>
      <c r="J12" s="34"/>
      <c r="K12" s="34"/>
      <c r="L12" s="35" t="str">
        <f aca="false">IF($J12="","",$J12-IF($K12="",0,$K12))</f>
        <v/>
      </c>
      <c r="M12" s="36"/>
      <c r="N12" s="33"/>
      <c r="O12" s="33"/>
      <c r="P12" s="37"/>
      <c r="Q12" s="34"/>
      <c r="R12" s="34"/>
      <c r="S12" s="38" t="str">
        <f aca="false">IF(OR($Q12="",$R12="",$R12=0),"",$Q12/$R12)</f>
        <v/>
      </c>
      <c r="T12" s="18" t="str">
        <f aca="false">IF($S12="","",IF($S12&gt;=0.5,"PROCEDE BAJA","EVALUAR REPARACION"))</f>
        <v/>
      </c>
      <c r="U12" s="34"/>
      <c r="V12" s="33"/>
      <c r="W12" s="33"/>
      <c r="X12" s="33"/>
      <c r="Y12" s="33"/>
      <c r="Z12" s="33"/>
      <c r="AA12" s="33"/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3"/>
      <c r="G13" s="33"/>
      <c r="H13" s="33"/>
      <c r="I13" s="33"/>
      <c r="J13" s="34"/>
      <c r="K13" s="34"/>
      <c r="L13" s="35" t="str">
        <f aca="false">IF($J13="","",$J13-IF($K13="",0,$K13))</f>
        <v/>
      </c>
      <c r="M13" s="36"/>
      <c r="N13" s="33"/>
      <c r="O13" s="33"/>
      <c r="P13" s="37"/>
      <c r="Q13" s="34"/>
      <c r="R13" s="34"/>
      <c r="S13" s="38" t="str">
        <f aca="false">IF(OR($Q13="",$R13="",$R13=0),"",$Q13/$R13)</f>
        <v/>
      </c>
      <c r="T13" s="18" t="str">
        <f aca="false">IF($S13="","",IF($S13&gt;=0.5,"PROCEDE BAJA","EVALUAR REPARACION"))</f>
        <v/>
      </c>
      <c r="U13" s="34"/>
      <c r="V13" s="33"/>
      <c r="W13" s="33"/>
      <c r="X13" s="33"/>
      <c r="Y13" s="33"/>
      <c r="Z13" s="33"/>
      <c r="AA13" s="33"/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3"/>
      <c r="G14" s="33"/>
      <c r="H14" s="33"/>
      <c r="I14" s="33"/>
      <c r="J14" s="34"/>
      <c r="K14" s="34"/>
      <c r="L14" s="35" t="str">
        <f aca="false">IF($J14="","",$J14-IF($K14="",0,$K14))</f>
        <v/>
      </c>
      <c r="M14" s="36"/>
      <c r="N14" s="33"/>
      <c r="O14" s="33"/>
      <c r="P14" s="37"/>
      <c r="Q14" s="34"/>
      <c r="R14" s="34"/>
      <c r="S14" s="38" t="str">
        <f aca="false">IF(OR($Q14="",$R14="",$R14=0),"",$Q14/$R14)</f>
        <v/>
      </c>
      <c r="T14" s="18" t="str">
        <f aca="false">IF($S14="","",IF($S14&gt;=0.5,"PROCEDE BAJA","EVALUAR REPARACION"))</f>
        <v/>
      </c>
      <c r="U14" s="34"/>
      <c r="V14" s="33"/>
      <c r="W14" s="33"/>
      <c r="X14" s="33"/>
      <c r="Y14" s="33"/>
      <c r="Z14" s="33"/>
      <c r="AA14" s="33"/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3"/>
      <c r="G15" s="33"/>
      <c r="H15" s="33"/>
      <c r="I15" s="33"/>
      <c r="J15" s="34"/>
      <c r="K15" s="34"/>
      <c r="L15" s="35" t="str">
        <f aca="false">IF($J15="","",$J15-IF($K15="",0,$K15))</f>
        <v/>
      </c>
      <c r="M15" s="36"/>
      <c r="N15" s="33"/>
      <c r="O15" s="33"/>
      <c r="P15" s="37"/>
      <c r="Q15" s="34"/>
      <c r="R15" s="34"/>
      <c r="S15" s="38" t="str">
        <f aca="false">IF(OR($Q15="",$R15="",$R15=0),"",$Q15/$R15)</f>
        <v/>
      </c>
      <c r="T15" s="18" t="str">
        <f aca="false">IF($S15="","",IF($S15&gt;=0.5,"PROCEDE BAJA","EVALUAR REPARACION"))</f>
        <v/>
      </c>
      <c r="U15" s="34"/>
      <c r="V15" s="33"/>
      <c r="W15" s="33"/>
      <c r="X15" s="33"/>
      <c r="Y15" s="33"/>
      <c r="Z15" s="33"/>
      <c r="AA15" s="33"/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3"/>
      <c r="G16" s="33"/>
      <c r="H16" s="33"/>
      <c r="I16" s="33"/>
      <c r="J16" s="34"/>
      <c r="K16" s="34"/>
      <c r="L16" s="35" t="str">
        <f aca="false">IF($J16="","",$J16-IF($K16="",0,$K16))</f>
        <v/>
      </c>
      <c r="M16" s="36"/>
      <c r="N16" s="33"/>
      <c r="O16" s="33"/>
      <c r="P16" s="37"/>
      <c r="Q16" s="34"/>
      <c r="R16" s="34"/>
      <c r="S16" s="38" t="str">
        <f aca="false">IF(OR($Q16="",$R16="",$R16=0),"",$Q16/$R16)</f>
        <v/>
      </c>
      <c r="T16" s="18" t="str">
        <f aca="false">IF($S16="","",IF($S16&gt;=0.5,"PROCEDE BAJA","EVALUAR REPARACION"))</f>
        <v/>
      </c>
      <c r="U16" s="34"/>
      <c r="V16" s="33"/>
      <c r="W16" s="33"/>
      <c r="X16" s="33"/>
      <c r="Y16" s="33"/>
      <c r="Z16" s="33"/>
      <c r="AA16" s="33"/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3"/>
      <c r="G17" s="33"/>
      <c r="H17" s="33"/>
      <c r="I17" s="33"/>
      <c r="J17" s="34"/>
      <c r="K17" s="34"/>
      <c r="L17" s="35" t="str">
        <f aca="false">IF($J17="","",$J17-IF($K17="",0,$K17))</f>
        <v/>
      </c>
      <c r="M17" s="36"/>
      <c r="N17" s="33"/>
      <c r="O17" s="33"/>
      <c r="P17" s="37"/>
      <c r="Q17" s="34"/>
      <c r="R17" s="34"/>
      <c r="S17" s="38" t="str">
        <f aca="false">IF(OR($Q17="",$R17="",$R17=0),"",$Q17/$R17)</f>
        <v/>
      </c>
      <c r="T17" s="18" t="str">
        <f aca="false">IF($S17="","",IF($S17&gt;=0.5,"PROCEDE BAJA","EVALUAR REPARACION"))</f>
        <v/>
      </c>
      <c r="U17" s="34"/>
      <c r="V17" s="33"/>
      <c r="W17" s="33"/>
      <c r="X17" s="33"/>
      <c r="Y17" s="33"/>
      <c r="Z17" s="33"/>
      <c r="AA17" s="33"/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3"/>
      <c r="G18" s="33"/>
      <c r="H18" s="33"/>
      <c r="I18" s="33"/>
      <c r="J18" s="34"/>
      <c r="K18" s="34"/>
      <c r="L18" s="35" t="str">
        <f aca="false">IF($J18="","",$J18-IF($K18="",0,$K18))</f>
        <v/>
      </c>
      <c r="M18" s="36"/>
      <c r="N18" s="33"/>
      <c r="O18" s="33"/>
      <c r="P18" s="37"/>
      <c r="Q18" s="34"/>
      <c r="R18" s="34"/>
      <c r="S18" s="38" t="str">
        <f aca="false">IF(OR($Q18="",$R18="",$R18=0),"",$Q18/$R18)</f>
        <v/>
      </c>
      <c r="T18" s="18" t="str">
        <f aca="false">IF($S18="","",IF($S18&gt;=0.5,"PROCEDE BAJA","EVALUAR REPARACION"))</f>
        <v/>
      </c>
      <c r="U18" s="34"/>
      <c r="V18" s="33"/>
      <c r="W18" s="33"/>
      <c r="X18" s="33"/>
      <c r="Y18" s="33"/>
      <c r="Z18" s="33"/>
      <c r="AA18" s="33"/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3"/>
      <c r="G19" s="33"/>
      <c r="H19" s="33"/>
      <c r="I19" s="33"/>
      <c r="J19" s="34"/>
      <c r="K19" s="34"/>
      <c r="L19" s="35" t="str">
        <f aca="false">IF($J19="","",$J19-IF($K19="",0,$K19))</f>
        <v/>
      </c>
      <c r="M19" s="36"/>
      <c r="N19" s="33"/>
      <c r="O19" s="33"/>
      <c r="P19" s="37"/>
      <c r="Q19" s="34"/>
      <c r="R19" s="34"/>
      <c r="S19" s="38" t="str">
        <f aca="false">IF(OR($Q19="",$R19="",$R19=0),"",$Q19/$R19)</f>
        <v/>
      </c>
      <c r="T19" s="18" t="str">
        <f aca="false">IF($S19="","",IF($S19&gt;=0.5,"PROCEDE BAJA","EVALUAR REPARACION"))</f>
        <v/>
      </c>
      <c r="U19" s="34"/>
      <c r="V19" s="33"/>
      <c r="W19" s="33"/>
      <c r="X19" s="33"/>
      <c r="Y19" s="33"/>
      <c r="Z19" s="33"/>
      <c r="AA19" s="33"/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3"/>
      <c r="G20" s="33"/>
      <c r="H20" s="33"/>
      <c r="I20" s="33"/>
      <c r="J20" s="34"/>
      <c r="K20" s="34"/>
      <c r="L20" s="35" t="str">
        <f aca="false">IF($J20="","",$J20-IF($K20="",0,$K20))</f>
        <v/>
      </c>
      <c r="M20" s="36"/>
      <c r="N20" s="33"/>
      <c r="O20" s="33"/>
      <c r="P20" s="37"/>
      <c r="Q20" s="34"/>
      <c r="R20" s="34"/>
      <c r="S20" s="38" t="str">
        <f aca="false">IF(OR($Q20="",$R20="",$R20=0),"",$Q20/$R20)</f>
        <v/>
      </c>
      <c r="T20" s="18" t="str">
        <f aca="false">IF($S20="","",IF($S20&gt;=0.5,"PROCEDE BAJA","EVALUAR REPARACION"))</f>
        <v/>
      </c>
      <c r="U20" s="34"/>
      <c r="V20" s="33"/>
      <c r="W20" s="33"/>
      <c r="X20" s="33"/>
      <c r="Y20" s="33"/>
      <c r="Z20" s="33"/>
      <c r="AA20" s="33"/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3"/>
      <c r="G21" s="33"/>
      <c r="H21" s="33"/>
      <c r="I21" s="33"/>
      <c r="J21" s="34"/>
      <c r="K21" s="34"/>
      <c r="L21" s="35" t="str">
        <f aca="false">IF($J21="","",$J21-IF($K21="",0,$K21))</f>
        <v/>
      </c>
      <c r="M21" s="36"/>
      <c r="N21" s="33"/>
      <c r="O21" s="33"/>
      <c r="P21" s="37"/>
      <c r="Q21" s="34"/>
      <c r="R21" s="34"/>
      <c r="S21" s="38" t="str">
        <f aca="false">IF(OR($Q21="",$R21="",$R21=0),"",$Q21/$R21)</f>
        <v/>
      </c>
      <c r="T21" s="18" t="str">
        <f aca="false">IF($S21="","",IF($S21&gt;=0.5,"PROCEDE BAJA","EVALUAR REPARACION"))</f>
        <v/>
      </c>
      <c r="U21" s="34"/>
      <c r="V21" s="33"/>
      <c r="W21" s="33"/>
      <c r="X21" s="33"/>
      <c r="Y21" s="33"/>
      <c r="Z21" s="33"/>
      <c r="AA21" s="33"/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3"/>
      <c r="G22" s="33"/>
      <c r="H22" s="33"/>
      <c r="I22" s="33"/>
      <c r="J22" s="34"/>
      <c r="K22" s="34"/>
      <c r="L22" s="35" t="str">
        <f aca="false">IF($J22="","",$J22-IF($K22="",0,$K22))</f>
        <v/>
      </c>
      <c r="M22" s="36"/>
      <c r="N22" s="33"/>
      <c r="O22" s="33"/>
      <c r="P22" s="37"/>
      <c r="Q22" s="34"/>
      <c r="R22" s="34"/>
      <c r="S22" s="38" t="str">
        <f aca="false">IF(OR($Q22="",$R22="",$R22=0),"",$Q22/$R22)</f>
        <v/>
      </c>
      <c r="T22" s="18" t="str">
        <f aca="false">IF($S22="","",IF($S22&gt;=0.5,"PROCEDE BAJA","EVALUAR REPARACION"))</f>
        <v/>
      </c>
      <c r="U22" s="34"/>
      <c r="V22" s="33"/>
      <c r="W22" s="33"/>
      <c r="X22" s="33"/>
      <c r="Y22" s="33"/>
      <c r="Z22" s="33"/>
      <c r="AA22" s="33"/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3"/>
      <c r="G23" s="33"/>
      <c r="H23" s="33"/>
      <c r="I23" s="33"/>
      <c r="J23" s="34"/>
      <c r="K23" s="34"/>
      <c r="L23" s="35" t="str">
        <f aca="false">IF($J23="","",$J23-IF($K23="",0,$K23))</f>
        <v/>
      </c>
      <c r="M23" s="36"/>
      <c r="N23" s="33"/>
      <c r="O23" s="33"/>
      <c r="P23" s="37"/>
      <c r="Q23" s="34"/>
      <c r="R23" s="34"/>
      <c r="S23" s="38" t="str">
        <f aca="false">IF(OR($Q23="",$R23="",$R23=0),"",$Q23/$R23)</f>
        <v/>
      </c>
      <c r="T23" s="18" t="str">
        <f aca="false">IF($S23="","",IF($S23&gt;=0.5,"PROCEDE BAJA","EVALUAR REPARACION"))</f>
        <v/>
      </c>
      <c r="U23" s="34"/>
      <c r="V23" s="33"/>
      <c r="W23" s="33"/>
      <c r="X23" s="33"/>
      <c r="Y23" s="33"/>
      <c r="Z23" s="33"/>
      <c r="AA23" s="33"/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3"/>
      <c r="G24" s="33"/>
      <c r="H24" s="33"/>
      <c r="I24" s="33"/>
      <c r="J24" s="34"/>
      <c r="K24" s="34"/>
      <c r="L24" s="35" t="str">
        <f aca="false">IF($J24="","",$J24-IF($K24="",0,$K24))</f>
        <v/>
      </c>
      <c r="M24" s="36"/>
      <c r="N24" s="33"/>
      <c r="O24" s="33"/>
      <c r="P24" s="37"/>
      <c r="Q24" s="34"/>
      <c r="R24" s="34"/>
      <c r="S24" s="38" t="str">
        <f aca="false">IF(OR($Q24="",$R24="",$R24=0),"",$Q24/$R24)</f>
        <v/>
      </c>
      <c r="T24" s="18" t="str">
        <f aca="false">IF($S24="","",IF($S24&gt;=0.5,"PROCEDE BAJA","EVALUAR REPARACION"))</f>
        <v/>
      </c>
      <c r="U24" s="34"/>
      <c r="V24" s="33"/>
      <c r="W24" s="33"/>
      <c r="X24" s="33"/>
      <c r="Y24" s="33"/>
      <c r="Z24" s="33"/>
      <c r="AA24" s="33"/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3"/>
      <c r="G25" s="33"/>
      <c r="H25" s="33"/>
      <c r="I25" s="33"/>
      <c r="J25" s="34"/>
      <c r="K25" s="34"/>
      <c r="L25" s="35" t="str">
        <f aca="false">IF($J25="","",$J25-IF($K25="",0,$K25))</f>
        <v/>
      </c>
      <c r="M25" s="36"/>
      <c r="N25" s="33"/>
      <c r="O25" s="33"/>
      <c r="P25" s="37"/>
      <c r="Q25" s="34"/>
      <c r="R25" s="34"/>
      <c r="S25" s="38" t="str">
        <f aca="false">IF(OR($Q25="",$R25="",$R25=0),"",$Q25/$R25)</f>
        <v/>
      </c>
      <c r="T25" s="18" t="str">
        <f aca="false">IF($S25="","",IF($S25&gt;=0.5,"PROCEDE BAJA","EVALUAR REPARACION"))</f>
        <v/>
      </c>
      <c r="U25" s="34"/>
      <c r="V25" s="33"/>
      <c r="W25" s="33"/>
      <c r="X25" s="33"/>
      <c r="Y25" s="33"/>
      <c r="Z25" s="33"/>
      <c r="AA25" s="33"/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3"/>
      <c r="G26" s="33"/>
      <c r="H26" s="33"/>
      <c r="I26" s="33"/>
      <c r="J26" s="34"/>
      <c r="K26" s="34"/>
      <c r="L26" s="35" t="str">
        <f aca="false">IF($J26="","",$J26-IF($K26="",0,$K26))</f>
        <v/>
      </c>
      <c r="M26" s="36"/>
      <c r="N26" s="33"/>
      <c r="O26" s="33"/>
      <c r="P26" s="37"/>
      <c r="Q26" s="34"/>
      <c r="R26" s="34"/>
      <c r="S26" s="38" t="str">
        <f aca="false">IF(OR($Q26="",$R26="",$R26=0),"",$Q26/$R26)</f>
        <v/>
      </c>
      <c r="T26" s="18" t="str">
        <f aca="false">IF($S26="","",IF($S26&gt;=0.5,"PROCEDE BAJA","EVALUAR REPARACION"))</f>
        <v/>
      </c>
      <c r="U26" s="34"/>
      <c r="V26" s="33"/>
      <c r="W26" s="33"/>
      <c r="X26" s="33"/>
      <c r="Y26" s="33"/>
      <c r="Z26" s="33"/>
      <c r="AA26" s="33"/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3"/>
      <c r="G27" s="33"/>
      <c r="H27" s="33"/>
      <c r="I27" s="33"/>
      <c r="J27" s="34"/>
      <c r="K27" s="34"/>
      <c r="L27" s="35" t="str">
        <f aca="false">IF($J27="","",$J27-IF($K27="",0,$K27))</f>
        <v/>
      </c>
      <c r="M27" s="36"/>
      <c r="N27" s="33"/>
      <c r="O27" s="33"/>
      <c r="P27" s="37"/>
      <c r="Q27" s="34"/>
      <c r="R27" s="34"/>
      <c r="S27" s="38" t="str">
        <f aca="false">IF(OR($Q27="",$R27="",$R27=0),"",$Q27/$R27)</f>
        <v/>
      </c>
      <c r="T27" s="18" t="str">
        <f aca="false">IF($S27="","",IF($S27&gt;=0.5,"PROCEDE BAJA","EVALUAR REPARACION"))</f>
        <v/>
      </c>
      <c r="U27" s="34"/>
      <c r="V27" s="33"/>
      <c r="W27" s="33"/>
      <c r="X27" s="33"/>
      <c r="Y27" s="33"/>
      <c r="Z27" s="33"/>
      <c r="AA27" s="33"/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3"/>
      <c r="G28" s="33"/>
      <c r="H28" s="33"/>
      <c r="I28" s="33"/>
      <c r="J28" s="34"/>
      <c r="K28" s="34"/>
      <c r="L28" s="35" t="str">
        <f aca="false">IF($J28="","",$J28-IF($K28="",0,$K28))</f>
        <v/>
      </c>
      <c r="M28" s="36"/>
      <c r="N28" s="33"/>
      <c r="O28" s="33"/>
      <c r="P28" s="37"/>
      <c r="Q28" s="34"/>
      <c r="R28" s="34"/>
      <c r="S28" s="38" t="str">
        <f aca="false">IF(OR($Q28="",$R28="",$R28=0),"",$Q28/$R28)</f>
        <v/>
      </c>
      <c r="T28" s="18" t="str">
        <f aca="false">IF($S28="","",IF($S28&gt;=0.5,"PROCEDE BAJA","EVALUAR REPARACION"))</f>
        <v/>
      </c>
      <c r="U28" s="34"/>
      <c r="V28" s="33"/>
      <c r="W28" s="33"/>
      <c r="X28" s="33"/>
      <c r="Y28" s="33"/>
      <c r="Z28" s="33"/>
      <c r="AA28" s="33"/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3"/>
      <c r="G29" s="33"/>
      <c r="H29" s="33"/>
      <c r="I29" s="33"/>
      <c r="J29" s="34"/>
      <c r="K29" s="34"/>
      <c r="L29" s="35" t="str">
        <f aca="false">IF($J29="","",$J29-IF($K29="",0,$K29))</f>
        <v/>
      </c>
      <c r="M29" s="36"/>
      <c r="N29" s="33"/>
      <c r="O29" s="33"/>
      <c r="P29" s="37"/>
      <c r="Q29" s="34"/>
      <c r="R29" s="34"/>
      <c r="S29" s="38" t="str">
        <f aca="false">IF(OR($Q29="",$R29="",$R29=0),"",$Q29/$R29)</f>
        <v/>
      </c>
      <c r="T29" s="18" t="str">
        <f aca="false">IF($S29="","",IF($S29&gt;=0.5,"PROCEDE BAJA","EVALUAR REPARACION"))</f>
        <v/>
      </c>
      <c r="U29" s="34"/>
      <c r="V29" s="33"/>
      <c r="W29" s="33"/>
      <c r="X29" s="33"/>
      <c r="Y29" s="33"/>
      <c r="Z29" s="33"/>
      <c r="AA29" s="33"/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3"/>
      <c r="G30" s="33"/>
      <c r="H30" s="33"/>
      <c r="I30" s="33"/>
      <c r="J30" s="34"/>
      <c r="K30" s="34"/>
      <c r="L30" s="35" t="str">
        <f aca="false">IF($J30="","",$J30-IF($K30="",0,$K30))</f>
        <v/>
      </c>
      <c r="M30" s="36"/>
      <c r="N30" s="33"/>
      <c r="O30" s="33"/>
      <c r="P30" s="37"/>
      <c r="Q30" s="34"/>
      <c r="R30" s="34"/>
      <c r="S30" s="38" t="str">
        <f aca="false">IF(OR($Q30="",$R30="",$R30=0),"",$Q30/$R30)</f>
        <v/>
      </c>
      <c r="T30" s="18" t="str">
        <f aca="false">IF($S30="","",IF($S30&gt;=0.5,"PROCEDE BAJA","EVALUAR REPARACION"))</f>
        <v/>
      </c>
      <c r="U30" s="34"/>
      <c r="V30" s="33"/>
      <c r="W30" s="33"/>
      <c r="X30" s="33"/>
      <c r="Y30" s="33"/>
      <c r="Z30" s="33"/>
      <c r="AA30" s="33"/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3"/>
      <c r="G31" s="33"/>
      <c r="H31" s="33"/>
      <c r="I31" s="33"/>
      <c r="J31" s="34"/>
      <c r="K31" s="34"/>
      <c r="L31" s="35" t="str">
        <f aca="false">IF($J31="","",$J31-IF($K31="",0,$K31))</f>
        <v/>
      </c>
      <c r="M31" s="36"/>
      <c r="N31" s="33"/>
      <c r="O31" s="33"/>
      <c r="P31" s="37"/>
      <c r="Q31" s="34"/>
      <c r="R31" s="34"/>
      <c r="S31" s="38" t="str">
        <f aca="false">IF(OR($Q31="",$R31="",$R31=0),"",$Q31/$R31)</f>
        <v/>
      </c>
      <c r="T31" s="18" t="str">
        <f aca="false">IF($S31="","",IF($S31&gt;=0.5,"PROCEDE BAJA","EVALUAR REPARACION"))</f>
        <v/>
      </c>
      <c r="U31" s="34"/>
      <c r="V31" s="33"/>
      <c r="W31" s="33"/>
      <c r="X31" s="33"/>
      <c r="Y31" s="33"/>
      <c r="Z31" s="33"/>
      <c r="AA31" s="33"/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3"/>
      <c r="G32" s="33"/>
      <c r="H32" s="33"/>
      <c r="I32" s="33"/>
      <c r="J32" s="34"/>
      <c r="K32" s="34"/>
      <c r="L32" s="35" t="str">
        <f aca="false">IF($J32="","",$J32-IF($K32="",0,$K32))</f>
        <v/>
      </c>
      <c r="M32" s="36"/>
      <c r="N32" s="33"/>
      <c r="O32" s="33"/>
      <c r="P32" s="37"/>
      <c r="Q32" s="34"/>
      <c r="R32" s="34"/>
      <c r="S32" s="38" t="str">
        <f aca="false">IF(OR($Q32="",$R32="",$R32=0),"",$Q32/$R32)</f>
        <v/>
      </c>
      <c r="T32" s="18" t="str">
        <f aca="false">IF($S32="","",IF($S32&gt;=0.5,"PROCEDE BAJA","EVALUAR REPARACION"))</f>
        <v/>
      </c>
      <c r="U32" s="34"/>
      <c r="V32" s="33"/>
      <c r="W32" s="33"/>
      <c r="X32" s="33"/>
      <c r="Y32" s="33"/>
      <c r="Z32" s="33"/>
      <c r="AA32" s="33"/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3"/>
      <c r="G33" s="33"/>
      <c r="H33" s="33"/>
      <c r="I33" s="33"/>
      <c r="J33" s="34"/>
      <c r="K33" s="34"/>
      <c r="L33" s="35" t="str">
        <f aca="false">IF($J33="","",$J33-IF($K33="",0,$K33))</f>
        <v/>
      </c>
      <c r="M33" s="36"/>
      <c r="N33" s="33"/>
      <c r="O33" s="33"/>
      <c r="P33" s="37"/>
      <c r="Q33" s="34"/>
      <c r="R33" s="34"/>
      <c r="S33" s="38" t="str">
        <f aca="false">IF(OR($Q33="",$R33="",$R33=0),"",$Q33/$R33)</f>
        <v/>
      </c>
      <c r="T33" s="18" t="str">
        <f aca="false">IF($S33="","",IF($S33&gt;=0.5,"PROCEDE BAJA","EVALUAR REPARACION"))</f>
        <v/>
      </c>
      <c r="U33" s="34"/>
      <c r="V33" s="33"/>
      <c r="W33" s="33"/>
      <c r="X33" s="33"/>
      <c r="Y33" s="33"/>
      <c r="Z33" s="33"/>
      <c r="AA33" s="33"/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3"/>
      <c r="G34" s="33"/>
      <c r="H34" s="33"/>
      <c r="I34" s="33"/>
      <c r="J34" s="34"/>
      <c r="K34" s="34"/>
      <c r="L34" s="35" t="str">
        <f aca="false">IF($J34="","",$J34-IF($K34="",0,$K34))</f>
        <v/>
      </c>
      <c r="M34" s="36"/>
      <c r="N34" s="33"/>
      <c r="O34" s="33"/>
      <c r="P34" s="37"/>
      <c r="Q34" s="34"/>
      <c r="R34" s="34"/>
      <c r="S34" s="38" t="str">
        <f aca="false">IF(OR($Q34="",$R34="",$R34=0),"",$Q34/$R34)</f>
        <v/>
      </c>
      <c r="T34" s="18" t="str">
        <f aca="false">IF($S34="","",IF($S34&gt;=0.5,"PROCEDE BAJA","EVALUAR REPARACION"))</f>
        <v/>
      </c>
      <c r="U34" s="34"/>
      <c r="V34" s="33"/>
      <c r="W34" s="33"/>
      <c r="X34" s="33"/>
      <c r="Y34" s="33"/>
      <c r="Z34" s="33"/>
      <c r="AA34" s="33"/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3"/>
      <c r="G35" s="33"/>
      <c r="H35" s="33"/>
      <c r="I35" s="33"/>
      <c r="J35" s="34"/>
      <c r="K35" s="34"/>
      <c r="L35" s="35" t="str">
        <f aca="false">IF($J35="","",$J35-IF($K35="",0,$K35))</f>
        <v/>
      </c>
      <c r="M35" s="36"/>
      <c r="N35" s="33"/>
      <c r="O35" s="33"/>
      <c r="P35" s="37"/>
      <c r="Q35" s="34"/>
      <c r="R35" s="34"/>
      <c r="S35" s="38" t="str">
        <f aca="false">IF(OR($Q35="",$R35="",$R35=0),"",$Q35/$R35)</f>
        <v/>
      </c>
      <c r="T35" s="18" t="str">
        <f aca="false">IF($S35="","",IF($S35&gt;=0.5,"PROCEDE BAJA","EVALUAR REPARACION"))</f>
        <v/>
      </c>
      <c r="U35" s="34"/>
      <c r="V35" s="33"/>
      <c r="W35" s="33"/>
      <c r="X35" s="33"/>
      <c r="Y35" s="33"/>
      <c r="Z35" s="33"/>
      <c r="AA35" s="33"/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3"/>
      <c r="G36" s="33"/>
      <c r="H36" s="33"/>
      <c r="I36" s="33"/>
      <c r="J36" s="34"/>
      <c r="K36" s="34"/>
      <c r="L36" s="35" t="str">
        <f aca="false">IF($J36="","",$J36-IF($K36="",0,$K36))</f>
        <v/>
      </c>
      <c r="M36" s="36"/>
      <c r="N36" s="33"/>
      <c r="O36" s="33"/>
      <c r="P36" s="37"/>
      <c r="Q36" s="34"/>
      <c r="R36" s="34"/>
      <c r="S36" s="38" t="str">
        <f aca="false">IF(OR($Q36="",$R36="",$R36=0),"",$Q36/$R36)</f>
        <v/>
      </c>
      <c r="T36" s="18" t="str">
        <f aca="false">IF($S36="","",IF($S36&gt;=0.5,"PROCEDE BAJA","EVALUAR REPARACION"))</f>
        <v/>
      </c>
      <c r="U36" s="34"/>
      <c r="V36" s="33"/>
      <c r="W36" s="33"/>
      <c r="X36" s="33"/>
      <c r="Y36" s="33"/>
      <c r="Z36" s="33"/>
      <c r="AA36" s="33"/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3"/>
      <c r="G37" s="33"/>
      <c r="H37" s="33"/>
      <c r="I37" s="33"/>
      <c r="J37" s="34"/>
      <c r="K37" s="34"/>
      <c r="L37" s="35" t="str">
        <f aca="false">IF($J37="","",$J37-IF($K37="",0,$K37))</f>
        <v/>
      </c>
      <c r="M37" s="36"/>
      <c r="N37" s="33"/>
      <c r="O37" s="33"/>
      <c r="P37" s="37"/>
      <c r="Q37" s="34"/>
      <c r="R37" s="34"/>
      <c r="S37" s="38" t="str">
        <f aca="false">IF(OR($Q37="",$R37="",$R37=0),"",$Q37/$R37)</f>
        <v/>
      </c>
      <c r="T37" s="18" t="str">
        <f aca="false">IF($S37="","",IF($S37&gt;=0.5,"PROCEDE BAJA","EVALUAR REPARACION"))</f>
        <v/>
      </c>
      <c r="U37" s="34"/>
      <c r="V37" s="33"/>
      <c r="W37" s="33"/>
      <c r="X37" s="33"/>
      <c r="Y37" s="33"/>
      <c r="Z37" s="33"/>
      <c r="AA37" s="33"/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3"/>
      <c r="G38" s="33"/>
      <c r="H38" s="33"/>
      <c r="I38" s="33"/>
      <c r="J38" s="34"/>
      <c r="K38" s="34"/>
      <c r="L38" s="35" t="str">
        <f aca="false">IF($J38="","",$J38-IF($K38="",0,$K38))</f>
        <v/>
      </c>
      <c r="M38" s="36"/>
      <c r="N38" s="33"/>
      <c r="O38" s="33"/>
      <c r="P38" s="37"/>
      <c r="Q38" s="34"/>
      <c r="R38" s="34"/>
      <c r="S38" s="38" t="str">
        <f aca="false">IF(OR($Q38="",$R38="",$R38=0),"",$Q38/$R38)</f>
        <v/>
      </c>
      <c r="T38" s="18" t="str">
        <f aca="false">IF($S38="","",IF($S38&gt;=0.5,"PROCEDE BAJA","EVALUAR REPARACION"))</f>
        <v/>
      </c>
      <c r="U38" s="34"/>
      <c r="V38" s="33"/>
      <c r="W38" s="33"/>
      <c r="X38" s="33"/>
      <c r="Y38" s="33"/>
      <c r="Z38" s="33"/>
      <c r="AA38" s="33"/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3"/>
      <c r="G39" s="33"/>
      <c r="H39" s="33"/>
      <c r="I39" s="33"/>
      <c r="J39" s="34"/>
      <c r="K39" s="34"/>
      <c r="L39" s="35" t="str">
        <f aca="false">IF($J39="","",$J39-IF($K39="",0,$K39))</f>
        <v/>
      </c>
      <c r="M39" s="36"/>
      <c r="N39" s="33"/>
      <c r="O39" s="33"/>
      <c r="P39" s="37"/>
      <c r="Q39" s="34"/>
      <c r="R39" s="34"/>
      <c r="S39" s="38" t="str">
        <f aca="false">IF(OR($Q39="",$R39="",$R39=0),"",$Q39/$R39)</f>
        <v/>
      </c>
      <c r="T39" s="18" t="str">
        <f aca="false">IF($S39="","",IF($S39&gt;=0.5,"PROCEDE BAJA","EVALUAR REPARACION"))</f>
        <v/>
      </c>
      <c r="U39" s="34"/>
      <c r="V39" s="33"/>
      <c r="W39" s="33"/>
      <c r="X39" s="33"/>
      <c r="Y39" s="33"/>
      <c r="Z39" s="33"/>
      <c r="AA39" s="33"/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3"/>
      <c r="G40" s="33"/>
      <c r="H40" s="33"/>
      <c r="I40" s="33"/>
      <c r="J40" s="34"/>
      <c r="K40" s="34"/>
      <c r="L40" s="35" t="str">
        <f aca="false">IF($J40="","",$J40-IF($K40="",0,$K40))</f>
        <v/>
      </c>
      <c r="M40" s="36"/>
      <c r="N40" s="33"/>
      <c r="O40" s="33"/>
      <c r="P40" s="37"/>
      <c r="Q40" s="34"/>
      <c r="R40" s="34"/>
      <c r="S40" s="38" t="str">
        <f aca="false">IF(OR($Q40="",$R40="",$R40=0),"",$Q40/$R40)</f>
        <v/>
      </c>
      <c r="T40" s="18" t="str">
        <f aca="false">IF($S40="","",IF($S40&gt;=0.5,"PROCEDE BAJA","EVALUAR REPARACION"))</f>
        <v/>
      </c>
      <c r="U40" s="34"/>
      <c r="V40" s="33"/>
      <c r="W40" s="33"/>
      <c r="X40" s="33"/>
      <c r="Y40" s="33"/>
      <c r="Z40" s="33"/>
      <c r="AA40" s="33"/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3"/>
      <c r="G41" s="33"/>
      <c r="H41" s="33"/>
      <c r="I41" s="33"/>
      <c r="J41" s="34"/>
      <c r="K41" s="34"/>
      <c r="L41" s="35" t="str">
        <f aca="false">IF($J41="","",$J41-IF($K41="",0,$K41))</f>
        <v/>
      </c>
      <c r="M41" s="36"/>
      <c r="N41" s="33"/>
      <c r="O41" s="33"/>
      <c r="P41" s="37"/>
      <c r="Q41" s="34"/>
      <c r="R41" s="34"/>
      <c r="S41" s="38" t="str">
        <f aca="false">IF(OR($Q41="",$R41="",$R41=0),"",$Q41/$R41)</f>
        <v/>
      </c>
      <c r="T41" s="18" t="str">
        <f aca="false">IF($S41="","",IF($S41&gt;=0.5,"PROCEDE BAJA","EVALUAR REPARACION"))</f>
        <v/>
      </c>
      <c r="U41" s="34"/>
      <c r="V41" s="33"/>
      <c r="W41" s="33"/>
      <c r="X41" s="33"/>
      <c r="Y41" s="33"/>
      <c r="Z41" s="33"/>
      <c r="AA41" s="33"/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3"/>
      <c r="G42" s="33"/>
      <c r="H42" s="33"/>
      <c r="I42" s="33"/>
      <c r="J42" s="34"/>
      <c r="K42" s="34"/>
      <c r="L42" s="35" t="str">
        <f aca="false">IF($J42="","",$J42-IF($K42="",0,$K42))</f>
        <v/>
      </c>
      <c r="M42" s="36"/>
      <c r="N42" s="33"/>
      <c r="O42" s="33"/>
      <c r="P42" s="37"/>
      <c r="Q42" s="34"/>
      <c r="R42" s="34"/>
      <c r="S42" s="38" t="str">
        <f aca="false">IF(OR($Q42="",$R42="",$R42=0),"",$Q42/$R42)</f>
        <v/>
      </c>
      <c r="T42" s="18" t="str">
        <f aca="false">IF($S42="","",IF($S42&gt;=0.5,"PROCEDE BAJA","EVALUAR REPARACION"))</f>
        <v/>
      </c>
      <c r="U42" s="34"/>
      <c r="V42" s="33"/>
      <c r="W42" s="33"/>
      <c r="X42" s="33"/>
      <c r="Y42" s="33"/>
      <c r="Z42" s="33"/>
      <c r="AA42" s="33"/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3"/>
      <c r="G43" s="33"/>
      <c r="H43" s="33"/>
      <c r="I43" s="33"/>
      <c r="J43" s="34"/>
      <c r="K43" s="34"/>
      <c r="L43" s="35" t="str">
        <f aca="false">IF($J43="","",$J43-IF($K43="",0,$K43))</f>
        <v/>
      </c>
      <c r="M43" s="36"/>
      <c r="N43" s="33"/>
      <c r="O43" s="33"/>
      <c r="P43" s="37"/>
      <c r="Q43" s="34"/>
      <c r="R43" s="34"/>
      <c r="S43" s="38" t="str">
        <f aca="false">IF(OR($Q43="",$R43="",$R43=0),"",$Q43/$R43)</f>
        <v/>
      </c>
      <c r="T43" s="18" t="str">
        <f aca="false">IF($S43="","",IF($S43&gt;=0.5,"PROCEDE BAJA","EVALUAR REPARACION"))</f>
        <v/>
      </c>
      <c r="U43" s="34"/>
      <c r="V43" s="33"/>
      <c r="W43" s="33"/>
      <c r="X43" s="33"/>
      <c r="Y43" s="33"/>
      <c r="Z43" s="33"/>
      <c r="AA43" s="33"/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3"/>
      <c r="G44" s="33"/>
      <c r="H44" s="33"/>
      <c r="I44" s="33"/>
      <c r="J44" s="34"/>
      <c r="K44" s="34"/>
      <c r="L44" s="35" t="str">
        <f aca="false">IF($J44="","",$J44-IF($K44="",0,$K44))</f>
        <v/>
      </c>
      <c r="M44" s="36"/>
      <c r="N44" s="33"/>
      <c r="O44" s="33"/>
      <c r="P44" s="37"/>
      <c r="Q44" s="34"/>
      <c r="R44" s="34"/>
      <c r="S44" s="38" t="str">
        <f aca="false">IF(OR($Q44="",$R44="",$R44=0),"",$Q44/$R44)</f>
        <v/>
      </c>
      <c r="T44" s="18" t="str">
        <f aca="false">IF($S44="","",IF($S44&gt;=0.5,"PROCEDE BAJA","EVALUAR REPARACION"))</f>
        <v/>
      </c>
      <c r="U44" s="34"/>
      <c r="V44" s="33"/>
      <c r="W44" s="33"/>
      <c r="X44" s="33"/>
      <c r="Y44" s="33"/>
      <c r="Z44" s="33"/>
      <c r="AA44" s="33"/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33"/>
      <c r="G45" s="33"/>
      <c r="H45" s="33"/>
      <c r="I45" s="33"/>
      <c r="J45" s="34"/>
      <c r="K45" s="34"/>
      <c r="L45" s="35" t="str">
        <f aca="false">IF($J45="","",$J45-IF($K45="",0,$K45))</f>
        <v/>
      </c>
      <c r="M45" s="36"/>
      <c r="N45" s="33"/>
      <c r="O45" s="33"/>
      <c r="P45" s="37"/>
      <c r="Q45" s="34"/>
      <c r="R45" s="34"/>
      <c r="S45" s="38" t="str">
        <f aca="false">IF(OR($Q45="",$R45="",$R45=0),"",$Q45/$R45)</f>
        <v/>
      </c>
      <c r="T45" s="18" t="str">
        <f aca="false">IF($S45="","",IF($S45&gt;=0.5,"PROCEDE BAJA","EVALUAR REPARACION"))</f>
        <v/>
      </c>
      <c r="U45" s="34"/>
      <c r="V45" s="33"/>
      <c r="W45" s="33"/>
      <c r="X45" s="33"/>
      <c r="Y45" s="33"/>
      <c r="Z45" s="33"/>
      <c r="AA45" s="33"/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3"/>
      <c r="G46" s="33"/>
      <c r="H46" s="33"/>
      <c r="I46" s="33"/>
      <c r="J46" s="34"/>
      <c r="K46" s="34"/>
      <c r="L46" s="35" t="str">
        <f aca="false">IF($J46="","",$J46-IF($K46="",0,$K46))</f>
        <v/>
      </c>
      <c r="M46" s="36"/>
      <c r="N46" s="33"/>
      <c r="O46" s="33"/>
      <c r="P46" s="37"/>
      <c r="Q46" s="34"/>
      <c r="R46" s="34"/>
      <c r="S46" s="38" t="str">
        <f aca="false">IF(OR($Q46="",$R46="",$R46=0),"",$Q46/$R46)</f>
        <v/>
      </c>
      <c r="T46" s="18" t="str">
        <f aca="false">IF($S46="","",IF($S46&gt;=0.5,"PROCEDE BAJA","EVALUAR REPARACION"))</f>
        <v/>
      </c>
      <c r="U46" s="34"/>
      <c r="V46" s="33"/>
      <c r="W46" s="33"/>
      <c r="X46" s="33"/>
      <c r="Y46" s="33"/>
      <c r="Z46" s="33"/>
      <c r="AA46" s="33"/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3"/>
      <c r="G47" s="33"/>
      <c r="H47" s="33"/>
      <c r="I47" s="33"/>
      <c r="J47" s="34"/>
      <c r="K47" s="34"/>
      <c r="L47" s="35" t="str">
        <f aca="false">IF($J47="","",$J47-IF($K47="",0,$K47))</f>
        <v/>
      </c>
      <c r="M47" s="36"/>
      <c r="N47" s="33"/>
      <c r="O47" s="33"/>
      <c r="P47" s="37"/>
      <c r="Q47" s="34"/>
      <c r="R47" s="34"/>
      <c r="S47" s="38" t="str">
        <f aca="false">IF(OR($Q47="",$R47="",$R47=0),"",$Q47/$R47)</f>
        <v/>
      </c>
      <c r="T47" s="18" t="str">
        <f aca="false">IF($S47="","",IF($S47&gt;=0.5,"PROCEDE BAJA","EVALUAR REPARACION"))</f>
        <v/>
      </c>
      <c r="U47" s="34"/>
      <c r="V47" s="33"/>
      <c r="W47" s="33"/>
      <c r="X47" s="33"/>
      <c r="Y47" s="33"/>
      <c r="Z47" s="33"/>
      <c r="AA47" s="33"/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3"/>
      <c r="G48" s="33"/>
      <c r="H48" s="33"/>
      <c r="I48" s="33"/>
      <c r="J48" s="34"/>
      <c r="K48" s="34"/>
      <c r="L48" s="35" t="str">
        <f aca="false">IF($J48="","",$J48-IF($K48="",0,$K48))</f>
        <v/>
      </c>
      <c r="M48" s="36"/>
      <c r="N48" s="33"/>
      <c r="O48" s="33"/>
      <c r="P48" s="37"/>
      <c r="Q48" s="34"/>
      <c r="R48" s="34"/>
      <c r="S48" s="38" t="str">
        <f aca="false">IF(OR($Q48="",$R48="",$R48=0),"",$Q48/$R48)</f>
        <v/>
      </c>
      <c r="T48" s="18" t="str">
        <f aca="false">IF($S48="","",IF($S48&gt;=0.5,"PROCEDE BAJA","EVALUAR REPARACION"))</f>
        <v/>
      </c>
      <c r="U48" s="34"/>
      <c r="V48" s="33"/>
      <c r="W48" s="33"/>
      <c r="X48" s="33"/>
      <c r="Y48" s="33"/>
      <c r="Z48" s="33"/>
      <c r="AA48" s="33"/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33"/>
      <c r="G49" s="33"/>
      <c r="H49" s="33"/>
      <c r="I49" s="33"/>
      <c r="J49" s="34"/>
      <c r="K49" s="34"/>
      <c r="L49" s="35" t="str">
        <f aca="false">IF($J49="","",$J49-IF($K49="",0,$K49))</f>
        <v/>
      </c>
      <c r="M49" s="36"/>
      <c r="N49" s="33"/>
      <c r="O49" s="33"/>
      <c r="P49" s="37"/>
      <c r="Q49" s="34"/>
      <c r="R49" s="34"/>
      <c r="S49" s="38" t="str">
        <f aca="false">IF(OR($Q49="",$R49="",$R49=0),"",$Q49/$R49)</f>
        <v/>
      </c>
      <c r="T49" s="18" t="str">
        <f aca="false">IF($S49="","",IF($S49&gt;=0.5,"PROCEDE BAJA","EVALUAR REPARACION"))</f>
        <v/>
      </c>
      <c r="U49" s="34"/>
      <c r="V49" s="33"/>
      <c r="W49" s="33"/>
      <c r="X49" s="33"/>
      <c r="Y49" s="33"/>
      <c r="Z49" s="33"/>
      <c r="AA49" s="33"/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3"/>
      <c r="G50" s="33"/>
      <c r="H50" s="33"/>
      <c r="I50" s="33"/>
      <c r="J50" s="34"/>
      <c r="K50" s="34"/>
      <c r="L50" s="35" t="str">
        <f aca="false">IF($J50="","",$J50-IF($K50="",0,$K50))</f>
        <v/>
      </c>
      <c r="M50" s="36"/>
      <c r="N50" s="33"/>
      <c r="O50" s="33"/>
      <c r="P50" s="37"/>
      <c r="Q50" s="34"/>
      <c r="R50" s="34"/>
      <c r="S50" s="38" t="str">
        <f aca="false">IF(OR($Q50="",$R50="",$R50=0),"",$Q50/$R50)</f>
        <v/>
      </c>
      <c r="T50" s="18" t="str">
        <f aca="false">IF($S50="","",IF($S50&gt;=0.5,"PROCEDE BAJA","EVALUAR REPARACION"))</f>
        <v/>
      </c>
      <c r="U50" s="34"/>
      <c r="V50" s="33"/>
      <c r="W50" s="33"/>
      <c r="X50" s="33"/>
      <c r="Y50" s="33"/>
      <c r="Z50" s="33"/>
      <c r="AA50" s="33"/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33"/>
      <c r="G51" s="33"/>
      <c r="H51" s="33"/>
      <c r="I51" s="33"/>
      <c r="J51" s="34"/>
      <c r="K51" s="34"/>
      <c r="L51" s="35" t="str">
        <f aca="false">IF($J51="","",$J51-IF($K51="",0,$K51))</f>
        <v/>
      </c>
      <c r="M51" s="36"/>
      <c r="N51" s="33"/>
      <c r="O51" s="33"/>
      <c r="P51" s="37"/>
      <c r="Q51" s="34"/>
      <c r="R51" s="34"/>
      <c r="S51" s="38" t="str">
        <f aca="false">IF(OR($Q51="",$R51="",$R51=0),"",$Q51/$R51)</f>
        <v/>
      </c>
      <c r="T51" s="18" t="str">
        <f aca="false">IF($S51="","",IF($S51&gt;=0.5,"PROCEDE BAJA","EVALUAR REPARACION"))</f>
        <v/>
      </c>
      <c r="U51" s="34"/>
      <c r="V51" s="33"/>
      <c r="W51" s="33"/>
      <c r="X51" s="33"/>
      <c r="Y51" s="33"/>
      <c r="Z51" s="33"/>
      <c r="AA51" s="33"/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33"/>
      <c r="G52" s="33"/>
      <c r="H52" s="33"/>
      <c r="I52" s="33"/>
      <c r="J52" s="34"/>
      <c r="K52" s="34"/>
      <c r="L52" s="35" t="str">
        <f aca="false">IF($J52="","",$J52-IF($K52="",0,$K52))</f>
        <v/>
      </c>
      <c r="M52" s="36"/>
      <c r="N52" s="33"/>
      <c r="O52" s="33"/>
      <c r="P52" s="37"/>
      <c r="Q52" s="34"/>
      <c r="R52" s="34"/>
      <c r="S52" s="38" t="str">
        <f aca="false">IF(OR($Q52="",$R52="",$R52=0),"",$Q52/$R52)</f>
        <v/>
      </c>
      <c r="T52" s="18" t="str">
        <f aca="false">IF($S52="","",IF($S52&gt;=0.5,"PROCEDE BAJA","EVALUAR REPARACION"))</f>
        <v/>
      </c>
      <c r="U52" s="34"/>
      <c r="V52" s="33"/>
      <c r="W52" s="33"/>
      <c r="X52" s="33"/>
      <c r="Y52" s="33"/>
      <c r="Z52" s="33"/>
      <c r="AA52" s="33"/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33"/>
      <c r="G53" s="33"/>
      <c r="H53" s="33"/>
      <c r="I53" s="33"/>
      <c r="J53" s="34"/>
      <c r="K53" s="34"/>
      <c r="L53" s="35" t="str">
        <f aca="false">IF($J53="","",$J53-IF($K53="",0,$K53))</f>
        <v/>
      </c>
      <c r="M53" s="36"/>
      <c r="N53" s="33"/>
      <c r="O53" s="33"/>
      <c r="P53" s="37"/>
      <c r="Q53" s="34"/>
      <c r="R53" s="34"/>
      <c r="S53" s="38" t="str">
        <f aca="false">IF(OR($Q53="",$R53="",$R53=0),"",$Q53/$R53)</f>
        <v/>
      </c>
      <c r="T53" s="18" t="str">
        <f aca="false">IF($S53="","",IF($S53&gt;=0.5,"PROCEDE BAJA","EVALUAR REPARACION"))</f>
        <v/>
      </c>
      <c r="U53" s="34"/>
      <c r="V53" s="33"/>
      <c r="W53" s="33"/>
      <c r="X53" s="33"/>
      <c r="Y53" s="33"/>
      <c r="Z53" s="33"/>
      <c r="AA53" s="33"/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33"/>
      <c r="G54" s="33"/>
      <c r="H54" s="33"/>
      <c r="I54" s="33"/>
      <c r="J54" s="34"/>
      <c r="K54" s="34"/>
      <c r="L54" s="35" t="str">
        <f aca="false">IF($J54="","",$J54-IF($K54="",0,$K54))</f>
        <v/>
      </c>
      <c r="M54" s="36"/>
      <c r="N54" s="33"/>
      <c r="O54" s="33"/>
      <c r="P54" s="37"/>
      <c r="Q54" s="34"/>
      <c r="R54" s="34"/>
      <c r="S54" s="38" t="str">
        <f aca="false">IF(OR($Q54="",$R54="",$R54=0),"",$Q54/$R54)</f>
        <v/>
      </c>
      <c r="T54" s="18" t="str">
        <f aca="false">IF($S54="","",IF($S54&gt;=0.5,"PROCEDE BAJA","EVALUAR REPARACION"))</f>
        <v/>
      </c>
      <c r="U54" s="34"/>
      <c r="V54" s="33"/>
      <c r="W54" s="33"/>
      <c r="X54" s="33"/>
      <c r="Y54" s="33"/>
      <c r="Z54" s="33"/>
      <c r="AA54" s="33"/>
    </row>
    <row r="55" customFormat="false" ht="15" hidden="false" customHeight="false" outlineLevel="0" collapsed="false">
      <c r="A55" s="33"/>
      <c r="B55" s="33"/>
      <c r="C55" s="33"/>
      <c r="D55" s="33"/>
      <c r="E55" s="33"/>
      <c r="F55" s="33"/>
      <c r="G55" s="33"/>
      <c r="H55" s="33"/>
      <c r="I55" s="33"/>
      <c r="J55" s="34"/>
      <c r="K55" s="34"/>
      <c r="L55" s="35" t="str">
        <f aca="false">IF($J55="","",$J55-IF($K55="",0,$K55))</f>
        <v/>
      </c>
      <c r="M55" s="36"/>
      <c r="N55" s="33"/>
      <c r="O55" s="33"/>
      <c r="P55" s="37"/>
      <c r="Q55" s="34"/>
      <c r="R55" s="34"/>
      <c r="S55" s="38" t="str">
        <f aca="false">IF(OR($Q55="",$R55="",$R55=0),"",$Q55/$R55)</f>
        <v/>
      </c>
      <c r="T55" s="18" t="str">
        <f aca="false">IF($S55="","",IF($S55&gt;=0.5,"PROCEDE BAJA","EVALUAR REPARACION"))</f>
        <v/>
      </c>
      <c r="U55" s="34"/>
      <c r="V55" s="33"/>
      <c r="W55" s="33"/>
      <c r="X55" s="33"/>
      <c r="Y55" s="33"/>
      <c r="Z55" s="33"/>
      <c r="AA55" s="33"/>
    </row>
    <row r="56" customFormat="false" ht="15" hidden="false" customHeight="false" outlineLevel="0" collapsed="false">
      <c r="A56" s="33"/>
      <c r="B56" s="33"/>
      <c r="C56" s="33"/>
      <c r="D56" s="33"/>
      <c r="E56" s="33"/>
      <c r="F56" s="33"/>
      <c r="G56" s="33"/>
      <c r="H56" s="33"/>
      <c r="I56" s="33"/>
      <c r="J56" s="34"/>
      <c r="K56" s="34"/>
      <c r="L56" s="35" t="str">
        <f aca="false">IF($J56="","",$J56-IF($K56="",0,$K56))</f>
        <v/>
      </c>
      <c r="M56" s="36"/>
      <c r="N56" s="33"/>
      <c r="O56" s="33"/>
      <c r="P56" s="37"/>
      <c r="Q56" s="34"/>
      <c r="R56" s="34"/>
      <c r="S56" s="38" t="str">
        <f aca="false">IF(OR($Q56="",$R56="",$R56=0),"",$Q56/$R56)</f>
        <v/>
      </c>
      <c r="T56" s="18" t="str">
        <f aca="false">IF($S56="","",IF($S56&gt;=0.5,"PROCEDE BAJA","EVALUAR REPARACION"))</f>
        <v/>
      </c>
      <c r="U56" s="34"/>
      <c r="V56" s="33"/>
      <c r="W56" s="33"/>
      <c r="X56" s="33"/>
      <c r="Y56" s="33"/>
      <c r="Z56" s="33"/>
      <c r="AA56" s="33"/>
    </row>
    <row r="57" customFormat="false" ht="15" hidden="false" customHeight="false" outlineLevel="0" collapsed="false">
      <c r="A57" s="33"/>
      <c r="B57" s="33"/>
      <c r="C57" s="33"/>
      <c r="D57" s="33"/>
      <c r="E57" s="33"/>
      <c r="F57" s="33"/>
      <c r="G57" s="33"/>
      <c r="H57" s="33"/>
      <c r="I57" s="33"/>
      <c r="J57" s="34"/>
      <c r="K57" s="34"/>
      <c r="L57" s="35" t="str">
        <f aca="false">IF($J57="","",$J57-IF($K57="",0,$K57))</f>
        <v/>
      </c>
      <c r="M57" s="36"/>
      <c r="N57" s="33"/>
      <c r="O57" s="33"/>
      <c r="P57" s="37"/>
      <c r="Q57" s="34"/>
      <c r="R57" s="34"/>
      <c r="S57" s="38" t="str">
        <f aca="false">IF(OR($Q57="",$R57="",$R57=0),"",$Q57/$R57)</f>
        <v/>
      </c>
      <c r="T57" s="18" t="str">
        <f aca="false">IF($S57="","",IF($S57&gt;=0.5,"PROCEDE BAJA","EVALUAR REPARACION"))</f>
        <v/>
      </c>
      <c r="U57" s="34"/>
      <c r="V57" s="33"/>
      <c r="W57" s="33"/>
      <c r="X57" s="33"/>
      <c r="Y57" s="33"/>
      <c r="Z57" s="33"/>
      <c r="AA57" s="33"/>
    </row>
    <row r="58" customFormat="false" ht="15" hidden="false" customHeight="false" outlineLevel="0" collapsed="false">
      <c r="A58" s="33"/>
      <c r="B58" s="33"/>
      <c r="C58" s="33"/>
      <c r="D58" s="33"/>
      <c r="E58" s="33"/>
      <c r="F58" s="33"/>
      <c r="G58" s="33"/>
      <c r="H58" s="33"/>
      <c r="I58" s="33"/>
      <c r="J58" s="34"/>
      <c r="K58" s="34"/>
      <c r="L58" s="35" t="str">
        <f aca="false">IF($J58="","",$J58-IF($K58="",0,$K58))</f>
        <v/>
      </c>
      <c r="M58" s="36"/>
      <c r="N58" s="33"/>
      <c r="O58" s="33"/>
      <c r="P58" s="37"/>
      <c r="Q58" s="34"/>
      <c r="R58" s="34"/>
      <c r="S58" s="38" t="str">
        <f aca="false">IF(OR($Q58="",$R58="",$R58=0),"",$Q58/$R58)</f>
        <v/>
      </c>
      <c r="T58" s="18" t="str">
        <f aca="false">IF($S58="","",IF($S58&gt;=0.5,"PROCEDE BAJA","EVALUAR REPARACION"))</f>
        <v/>
      </c>
      <c r="U58" s="34"/>
      <c r="V58" s="33"/>
      <c r="W58" s="33"/>
      <c r="X58" s="33"/>
      <c r="Y58" s="33"/>
      <c r="Z58" s="33"/>
      <c r="AA58" s="33"/>
    </row>
    <row r="59" customFormat="false" ht="15" hidden="false" customHeight="false" outlineLevel="0" collapsed="false">
      <c r="A59" s="33"/>
      <c r="B59" s="33"/>
      <c r="C59" s="33"/>
      <c r="D59" s="33"/>
      <c r="E59" s="33"/>
      <c r="F59" s="33"/>
      <c r="G59" s="33"/>
      <c r="H59" s="33"/>
      <c r="I59" s="33"/>
      <c r="J59" s="34"/>
      <c r="K59" s="34"/>
      <c r="L59" s="35" t="str">
        <f aca="false">IF($J59="","",$J59-IF($K59="",0,$K59))</f>
        <v/>
      </c>
      <c r="M59" s="36"/>
      <c r="N59" s="33"/>
      <c r="O59" s="33"/>
      <c r="P59" s="37"/>
      <c r="Q59" s="34"/>
      <c r="R59" s="34"/>
      <c r="S59" s="38" t="str">
        <f aca="false">IF(OR($Q59="",$R59="",$R59=0),"",$Q59/$R59)</f>
        <v/>
      </c>
      <c r="T59" s="18" t="str">
        <f aca="false">IF($S59="","",IF($S59&gt;=0.5,"PROCEDE BAJA","EVALUAR REPARACION"))</f>
        <v/>
      </c>
      <c r="U59" s="34"/>
      <c r="V59" s="33"/>
      <c r="W59" s="33"/>
      <c r="X59" s="33"/>
      <c r="Y59" s="33"/>
      <c r="Z59" s="33"/>
      <c r="AA59" s="33"/>
    </row>
    <row r="60" customFormat="false" ht="15" hidden="false" customHeight="false" outlineLevel="0" collapsed="false">
      <c r="A60" s="33"/>
      <c r="B60" s="33"/>
      <c r="C60" s="33"/>
      <c r="D60" s="33"/>
      <c r="E60" s="33"/>
      <c r="F60" s="33"/>
      <c r="G60" s="33"/>
      <c r="H60" s="33"/>
      <c r="I60" s="33"/>
      <c r="J60" s="34"/>
      <c r="K60" s="34"/>
      <c r="L60" s="35" t="str">
        <f aca="false">IF($J60="","",$J60-IF($K60="",0,$K60))</f>
        <v/>
      </c>
      <c r="M60" s="36"/>
      <c r="N60" s="33"/>
      <c r="O60" s="33"/>
      <c r="P60" s="37"/>
      <c r="Q60" s="34"/>
      <c r="R60" s="34"/>
      <c r="S60" s="38" t="str">
        <f aca="false">IF(OR($Q60="",$R60="",$R60=0),"",$Q60/$R60)</f>
        <v/>
      </c>
      <c r="T60" s="18" t="str">
        <f aca="false">IF($S60="","",IF($S60&gt;=0.5,"PROCEDE BAJA","EVALUAR REPARACION"))</f>
        <v/>
      </c>
      <c r="U60" s="34"/>
      <c r="V60" s="33"/>
      <c r="W60" s="33"/>
      <c r="X60" s="33"/>
      <c r="Y60" s="33"/>
      <c r="Z60" s="33"/>
      <c r="AA60" s="33"/>
    </row>
    <row r="61" customFormat="false" ht="15" hidden="false" customHeight="false" outlineLevel="0" collapsed="false">
      <c r="A61" s="33"/>
      <c r="B61" s="33"/>
      <c r="C61" s="33"/>
      <c r="D61" s="33"/>
      <c r="E61" s="33"/>
      <c r="F61" s="33"/>
      <c r="G61" s="33"/>
      <c r="H61" s="33"/>
      <c r="I61" s="33"/>
      <c r="J61" s="34"/>
      <c r="K61" s="34"/>
      <c r="L61" s="35" t="str">
        <f aca="false">IF($J61="","",$J61-IF($K61="",0,$K61))</f>
        <v/>
      </c>
      <c r="M61" s="36"/>
      <c r="N61" s="33"/>
      <c r="O61" s="33"/>
      <c r="P61" s="37"/>
      <c r="Q61" s="34"/>
      <c r="R61" s="34"/>
      <c r="S61" s="38" t="str">
        <f aca="false">IF(OR($Q61="",$R61="",$R61=0),"",$Q61/$R61)</f>
        <v/>
      </c>
      <c r="T61" s="18" t="str">
        <f aca="false">IF($S61="","",IF($S61&gt;=0.5,"PROCEDE BAJA","EVALUAR REPARACION"))</f>
        <v/>
      </c>
      <c r="U61" s="34"/>
      <c r="V61" s="33"/>
      <c r="W61" s="33"/>
      <c r="X61" s="33"/>
      <c r="Y61" s="33"/>
      <c r="Z61" s="33"/>
      <c r="AA61" s="33"/>
    </row>
    <row r="62" customFormat="false" ht="15" hidden="false" customHeight="false" outlineLevel="0" collapsed="false">
      <c r="A62" s="33"/>
      <c r="B62" s="33"/>
      <c r="C62" s="33"/>
      <c r="D62" s="33"/>
      <c r="E62" s="33"/>
      <c r="F62" s="33"/>
      <c r="G62" s="33"/>
      <c r="H62" s="33"/>
      <c r="I62" s="33"/>
      <c r="J62" s="34"/>
      <c r="K62" s="34"/>
      <c r="L62" s="35" t="str">
        <f aca="false">IF($J62="","",$J62-IF($K62="",0,$K62))</f>
        <v/>
      </c>
      <c r="M62" s="36"/>
      <c r="N62" s="33"/>
      <c r="O62" s="33"/>
      <c r="P62" s="37"/>
      <c r="Q62" s="34"/>
      <c r="R62" s="34"/>
      <c r="S62" s="38" t="str">
        <f aca="false">IF(OR($Q62="",$R62="",$R62=0),"",$Q62/$R62)</f>
        <v/>
      </c>
      <c r="T62" s="18" t="str">
        <f aca="false">IF($S62="","",IF($S62&gt;=0.5,"PROCEDE BAJA","EVALUAR REPARACION"))</f>
        <v/>
      </c>
      <c r="U62" s="34"/>
      <c r="V62" s="33"/>
      <c r="W62" s="33"/>
      <c r="X62" s="33"/>
      <c r="Y62" s="33"/>
      <c r="Z62" s="33"/>
      <c r="AA62" s="33"/>
    </row>
    <row r="63" customFormat="false" ht="15" hidden="false" customHeight="false" outlineLevel="0" collapsed="false">
      <c r="A63" s="33"/>
      <c r="B63" s="33"/>
      <c r="C63" s="33"/>
      <c r="D63" s="33"/>
      <c r="E63" s="33"/>
      <c r="F63" s="33"/>
      <c r="G63" s="33"/>
      <c r="H63" s="33"/>
      <c r="I63" s="33"/>
      <c r="J63" s="34"/>
      <c r="K63" s="34"/>
      <c r="L63" s="35" t="str">
        <f aca="false">IF($J63="","",$J63-IF($K63="",0,$K63))</f>
        <v/>
      </c>
      <c r="M63" s="36"/>
      <c r="N63" s="33"/>
      <c r="O63" s="33"/>
      <c r="P63" s="37"/>
      <c r="Q63" s="34"/>
      <c r="R63" s="34"/>
      <c r="S63" s="38" t="str">
        <f aca="false">IF(OR($Q63="",$R63="",$R63=0),"",$Q63/$R63)</f>
        <v/>
      </c>
      <c r="T63" s="18" t="str">
        <f aca="false">IF($S63="","",IF($S63&gt;=0.5,"PROCEDE BAJA","EVALUAR REPARACION"))</f>
        <v/>
      </c>
      <c r="U63" s="34"/>
      <c r="V63" s="33"/>
      <c r="W63" s="33"/>
      <c r="X63" s="33"/>
      <c r="Y63" s="33"/>
      <c r="Z63" s="33"/>
      <c r="AA63" s="33"/>
    </row>
    <row r="64" customFormat="false" ht="15" hidden="false" customHeight="false" outlineLevel="0" collapsed="false">
      <c r="A64" s="33"/>
      <c r="B64" s="33"/>
      <c r="C64" s="33"/>
      <c r="D64" s="33"/>
      <c r="E64" s="33"/>
      <c r="F64" s="33"/>
      <c r="G64" s="33"/>
      <c r="H64" s="33"/>
      <c r="I64" s="33"/>
      <c r="J64" s="34"/>
      <c r="K64" s="34"/>
      <c r="L64" s="35" t="str">
        <f aca="false">IF($J64="","",$J64-IF($K64="",0,$K64))</f>
        <v/>
      </c>
      <c r="M64" s="36"/>
      <c r="N64" s="33"/>
      <c r="O64" s="33"/>
      <c r="P64" s="37"/>
      <c r="Q64" s="34"/>
      <c r="R64" s="34"/>
      <c r="S64" s="38" t="str">
        <f aca="false">IF(OR($Q64="",$R64="",$R64=0),"",$Q64/$R64)</f>
        <v/>
      </c>
      <c r="T64" s="18" t="str">
        <f aca="false">IF($S64="","",IF($S64&gt;=0.5,"PROCEDE BAJA","EVALUAR REPARACION"))</f>
        <v/>
      </c>
      <c r="U64" s="34"/>
      <c r="V64" s="33"/>
      <c r="W64" s="33"/>
      <c r="X64" s="33"/>
      <c r="Y64" s="33"/>
      <c r="Z64" s="33"/>
      <c r="AA64" s="33"/>
    </row>
    <row r="65" customFormat="false" ht="15" hidden="false" customHeight="false" outlineLevel="0" collapsed="false">
      <c r="A65" s="33"/>
      <c r="B65" s="33"/>
      <c r="C65" s="33"/>
      <c r="D65" s="33"/>
      <c r="E65" s="33"/>
      <c r="F65" s="33"/>
      <c r="G65" s="33"/>
      <c r="H65" s="33"/>
      <c r="I65" s="33"/>
      <c r="J65" s="34"/>
      <c r="K65" s="34"/>
      <c r="L65" s="35" t="str">
        <f aca="false">IF($J65="","",$J65-IF($K65="",0,$K65))</f>
        <v/>
      </c>
      <c r="M65" s="36"/>
      <c r="N65" s="33"/>
      <c r="O65" s="33"/>
      <c r="P65" s="37"/>
      <c r="Q65" s="34"/>
      <c r="R65" s="34"/>
      <c r="S65" s="38" t="str">
        <f aca="false">IF(OR($Q65="",$R65="",$R65=0),"",$Q65/$R65)</f>
        <v/>
      </c>
      <c r="T65" s="18" t="str">
        <f aca="false">IF($S65="","",IF($S65&gt;=0.5,"PROCEDE BAJA","EVALUAR REPARACION"))</f>
        <v/>
      </c>
      <c r="U65" s="34"/>
      <c r="V65" s="33"/>
      <c r="W65" s="33"/>
      <c r="X65" s="33"/>
      <c r="Y65" s="33"/>
      <c r="Z65" s="33"/>
      <c r="AA65" s="33"/>
    </row>
    <row r="66" customFormat="false" ht="15" hidden="false" customHeight="false" outlineLevel="0" collapsed="false">
      <c r="A66" s="33"/>
      <c r="B66" s="33"/>
      <c r="C66" s="33"/>
      <c r="D66" s="33"/>
      <c r="E66" s="33"/>
      <c r="F66" s="33"/>
      <c r="G66" s="33"/>
      <c r="H66" s="33"/>
      <c r="I66" s="33"/>
      <c r="J66" s="34"/>
      <c r="K66" s="34"/>
      <c r="L66" s="35" t="str">
        <f aca="false">IF($J66="","",$J66-IF($K66="",0,$K66))</f>
        <v/>
      </c>
      <c r="M66" s="36"/>
      <c r="N66" s="33"/>
      <c r="O66" s="33"/>
      <c r="P66" s="37"/>
      <c r="Q66" s="34"/>
      <c r="R66" s="34"/>
      <c r="S66" s="38" t="str">
        <f aca="false">IF(OR($Q66="",$R66="",$R66=0),"",$Q66/$R66)</f>
        <v/>
      </c>
      <c r="T66" s="18" t="str">
        <f aca="false">IF($S66="","",IF($S66&gt;=0.5,"PROCEDE BAJA","EVALUAR REPARACION"))</f>
        <v/>
      </c>
      <c r="U66" s="34"/>
      <c r="V66" s="33"/>
      <c r="W66" s="33"/>
      <c r="X66" s="33"/>
      <c r="Y66" s="33"/>
      <c r="Z66" s="33"/>
      <c r="AA66" s="33"/>
    </row>
    <row r="67" customFormat="false" ht="15" hidden="false" customHeight="false" outlineLevel="0" collapsed="false">
      <c r="A67" s="33"/>
      <c r="B67" s="33"/>
      <c r="C67" s="33"/>
      <c r="D67" s="33"/>
      <c r="E67" s="33"/>
      <c r="F67" s="33"/>
      <c r="G67" s="33"/>
      <c r="H67" s="33"/>
      <c r="I67" s="33"/>
      <c r="J67" s="34"/>
      <c r="K67" s="34"/>
      <c r="L67" s="35" t="str">
        <f aca="false">IF($J67="","",$J67-IF($K67="",0,$K67))</f>
        <v/>
      </c>
      <c r="M67" s="36"/>
      <c r="N67" s="33"/>
      <c r="O67" s="33"/>
      <c r="P67" s="37"/>
      <c r="Q67" s="34"/>
      <c r="R67" s="34"/>
      <c r="S67" s="38" t="str">
        <f aca="false">IF(OR($Q67="",$R67="",$R67=0),"",$Q67/$R67)</f>
        <v/>
      </c>
      <c r="T67" s="18" t="str">
        <f aca="false">IF($S67="","",IF($S67&gt;=0.5,"PROCEDE BAJA","EVALUAR REPARACION"))</f>
        <v/>
      </c>
      <c r="U67" s="34"/>
      <c r="V67" s="33"/>
      <c r="W67" s="33"/>
      <c r="X67" s="33"/>
      <c r="Y67" s="33"/>
      <c r="Z67" s="33"/>
      <c r="AA67" s="33"/>
    </row>
    <row r="68" customFormat="false" ht="15" hidden="false" customHeight="false" outlineLevel="0" collapsed="false">
      <c r="A68" s="33"/>
      <c r="B68" s="33"/>
      <c r="C68" s="33"/>
      <c r="D68" s="33"/>
      <c r="E68" s="33"/>
      <c r="F68" s="33"/>
      <c r="G68" s="33"/>
      <c r="H68" s="33"/>
      <c r="I68" s="33"/>
      <c r="J68" s="34"/>
      <c r="K68" s="34"/>
      <c r="L68" s="35" t="str">
        <f aca="false">IF($J68="","",$J68-IF($K68="",0,$K68))</f>
        <v/>
      </c>
      <c r="M68" s="36"/>
      <c r="N68" s="33"/>
      <c r="O68" s="33"/>
      <c r="P68" s="37"/>
      <c r="Q68" s="34"/>
      <c r="R68" s="34"/>
      <c r="S68" s="38" t="str">
        <f aca="false">IF(OR($Q68="",$R68="",$R68=0),"",$Q68/$R68)</f>
        <v/>
      </c>
      <c r="T68" s="18" t="str">
        <f aca="false">IF($S68="","",IF($S68&gt;=0.5,"PROCEDE BAJA","EVALUAR REPARACION"))</f>
        <v/>
      </c>
      <c r="U68" s="34"/>
      <c r="V68" s="33"/>
      <c r="W68" s="33"/>
      <c r="X68" s="33"/>
      <c r="Y68" s="33"/>
      <c r="Z68" s="33"/>
      <c r="AA68" s="33"/>
    </row>
    <row r="69" customFormat="false" ht="15" hidden="false" customHeight="false" outlineLevel="0" collapsed="false">
      <c r="A69" s="33"/>
      <c r="B69" s="33"/>
      <c r="C69" s="33"/>
      <c r="D69" s="33"/>
      <c r="E69" s="33"/>
      <c r="F69" s="33"/>
      <c r="G69" s="33"/>
      <c r="H69" s="33"/>
      <c r="I69" s="33"/>
      <c r="J69" s="34"/>
      <c r="K69" s="34"/>
      <c r="L69" s="35" t="str">
        <f aca="false">IF($J69="","",$J69-IF($K69="",0,$K69))</f>
        <v/>
      </c>
      <c r="M69" s="36"/>
      <c r="N69" s="33"/>
      <c r="O69" s="33"/>
      <c r="P69" s="37"/>
      <c r="Q69" s="34"/>
      <c r="R69" s="34"/>
      <c r="S69" s="38" t="str">
        <f aca="false">IF(OR($Q69="",$R69="",$R69=0),"",$Q69/$R69)</f>
        <v/>
      </c>
      <c r="T69" s="18" t="str">
        <f aca="false">IF($S69="","",IF($S69&gt;=0.5,"PROCEDE BAJA","EVALUAR REPARACION"))</f>
        <v/>
      </c>
      <c r="U69" s="34"/>
      <c r="V69" s="33"/>
      <c r="W69" s="33"/>
      <c r="X69" s="33"/>
      <c r="Y69" s="33"/>
      <c r="Z69" s="33"/>
      <c r="AA69" s="33"/>
    </row>
    <row r="70" customFormat="false" ht="15" hidden="false" customHeight="false" outlineLevel="0" collapsed="false">
      <c r="A70" s="33"/>
      <c r="B70" s="33"/>
      <c r="C70" s="33"/>
      <c r="D70" s="33"/>
      <c r="E70" s="33"/>
      <c r="F70" s="33"/>
      <c r="G70" s="33"/>
      <c r="H70" s="33"/>
      <c r="I70" s="33"/>
      <c r="J70" s="34"/>
      <c r="K70" s="34"/>
      <c r="L70" s="35" t="str">
        <f aca="false">IF($J70="","",$J70-IF($K70="",0,$K70))</f>
        <v/>
      </c>
      <c r="M70" s="36"/>
      <c r="N70" s="33"/>
      <c r="O70" s="33"/>
      <c r="P70" s="37"/>
      <c r="Q70" s="34"/>
      <c r="R70" s="34"/>
      <c r="S70" s="38" t="str">
        <f aca="false">IF(OR($Q70="",$R70="",$R70=0),"",$Q70/$R70)</f>
        <v/>
      </c>
      <c r="T70" s="18" t="str">
        <f aca="false">IF($S70="","",IF($S70&gt;=0.5,"PROCEDE BAJA","EVALUAR REPARACION"))</f>
        <v/>
      </c>
      <c r="U70" s="34"/>
      <c r="V70" s="33"/>
      <c r="W70" s="33"/>
      <c r="X70" s="33"/>
      <c r="Y70" s="33"/>
      <c r="Z70" s="33"/>
      <c r="AA70" s="33"/>
    </row>
    <row r="71" customFormat="false" ht="15" hidden="false" customHeight="false" outlineLevel="0" collapsed="false">
      <c r="A71" s="33"/>
      <c r="B71" s="33"/>
      <c r="C71" s="33"/>
      <c r="D71" s="33"/>
      <c r="E71" s="33"/>
      <c r="F71" s="33"/>
      <c r="G71" s="33"/>
      <c r="H71" s="33"/>
      <c r="I71" s="33"/>
      <c r="J71" s="34"/>
      <c r="K71" s="34"/>
      <c r="L71" s="35" t="str">
        <f aca="false">IF($J71="","",$J71-IF($K71="",0,$K71))</f>
        <v/>
      </c>
      <c r="M71" s="36"/>
      <c r="N71" s="33"/>
      <c r="O71" s="33"/>
      <c r="P71" s="37"/>
      <c r="Q71" s="34"/>
      <c r="R71" s="34"/>
      <c r="S71" s="38" t="str">
        <f aca="false">IF(OR($Q71="",$R71="",$R71=0),"",$Q71/$R71)</f>
        <v/>
      </c>
      <c r="T71" s="18" t="str">
        <f aca="false">IF($S71="","",IF($S71&gt;=0.5,"PROCEDE BAJA","EVALUAR REPARACION"))</f>
        <v/>
      </c>
      <c r="U71" s="34"/>
      <c r="V71" s="33"/>
      <c r="W71" s="33"/>
      <c r="X71" s="33"/>
      <c r="Y71" s="33"/>
      <c r="Z71" s="33"/>
      <c r="AA71" s="33"/>
    </row>
    <row r="72" customFormat="false" ht="15" hidden="false" customHeight="false" outlineLevel="0" collapsed="false">
      <c r="A72" s="33"/>
      <c r="B72" s="33"/>
      <c r="C72" s="33"/>
      <c r="D72" s="33"/>
      <c r="E72" s="33"/>
      <c r="F72" s="33"/>
      <c r="G72" s="33"/>
      <c r="H72" s="33"/>
      <c r="I72" s="33"/>
      <c r="J72" s="34"/>
      <c r="K72" s="34"/>
      <c r="L72" s="35" t="str">
        <f aca="false">IF($J72="","",$J72-IF($K72="",0,$K72))</f>
        <v/>
      </c>
      <c r="M72" s="36"/>
      <c r="N72" s="33"/>
      <c r="O72" s="33"/>
      <c r="P72" s="37"/>
      <c r="Q72" s="34"/>
      <c r="R72" s="34"/>
      <c r="S72" s="38" t="str">
        <f aca="false">IF(OR($Q72="",$R72="",$R72=0),"",$Q72/$R72)</f>
        <v/>
      </c>
      <c r="T72" s="18" t="str">
        <f aca="false">IF($S72="","",IF($S72&gt;=0.5,"PROCEDE BAJA","EVALUAR REPARACION"))</f>
        <v/>
      </c>
      <c r="U72" s="34"/>
      <c r="V72" s="33"/>
      <c r="W72" s="33"/>
      <c r="X72" s="33"/>
      <c r="Y72" s="33"/>
      <c r="Z72" s="33"/>
      <c r="AA72" s="33"/>
    </row>
    <row r="73" customFormat="false" ht="15" hidden="false" customHeight="false" outlineLevel="0" collapsed="false">
      <c r="A73" s="33"/>
      <c r="B73" s="33"/>
      <c r="C73" s="33"/>
      <c r="D73" s="33"/>
      <c r="E73" s="33"/>
      <c r="F73" s="33"/>
      <c r="G73" s="33"/>
      <c r="H73" s="33"/>
      <c r="I73" s="33"/>
      <c r="J73" s="34"/>
      <c r="K73" s="34"/>
      <c r="L73" s="35" t="str">
        <f aca="false">IF($J73="","",$J73-IF($K73="",0,$K73))</f>
        <v/>
      </c>
      <c r="M73" s="36"/>
      <c r="N73" s="33"/>
      <c r="O73" s="33"/>
      <c r="P73" s="37"/>
      <c r="Q73" s="34"/>
      <c r="R73" s="34"/>
      <c r="S73" s="38" t="str">
        <f aca="false">IF(OR($Q73="",$R73="",$R73=0),"",$Q73/$R73)</f>
        <v/>
      </c>
      <c r="T73" s="18" t="str">
        <f aca="false">IF($S73="","",IF($S73&gt;=0.5,"PROCEDE BAJA","EVALUAR REPARACION"))</f>
        <v/>
      </c>
      <c r="U73" s="34"/>
      <c r="V73" s="33"/>
      <c r="W73" s="33"/>
      <c r="X73" s="33"/>
      <c r="Y73" s="33"/>
      <c r="Z73" s="33"/>
      <c r="AA73" s="33"/>
    </row>
    <row r="74" customFormat="false" ht="15" hidden="false" customHeight="false" outlineLevel="0" collapsed="false">
      <c r="A74" s="33"/>
      <c r="B74" s="33"/>
      <c r="C74" s="33"/>
      <c r="D74" s="33"/>
      <c r="E74" s="33"/>
      <c r="F74" s="33"/>
      <c r="G74" s="33"/>
      <c r="H74" s="33"/>
      <c r="I74" s="33"/>
      <c r="J74" s="34"/>
      <c r="K74" s="34"/>
      <c r="L74" s="35" t="str">
        <f aca="false">IF($J74="","",$J74-IF($K74="",0,$K74))</f>
        <v/>
      </c>
      <c r="M74" s="36"/>
      <c r="N74" s="33"/>
      <c r="O74" s="33"/>
      <c r="P74" s="37"/>
      <c r="Q74" s="34"/>
      <c r="R74" s="34"/>
      <c r="S74" s="38" t="str">
        <f aca="false">IF(OR($Q74="",$R74="",$R74=0),"",$Q74/$R74)</f>
        <v/>
      </c>
      <c r="T74" s="18" t="str">
        <f aca="false">IF($S74="","",IF($S74&gt;=0.5,"PROCEDE BAJA","EVALUAR REPARACION"))</f>
        <v/>
      </c>
      <c r="U74" s="34"/>
      <c r="V74" s="33"/>
      <c r="W74" s="33"/>
      <c r="X74" s="33"/>
      <c r="Y74" s="33"/>
      <c r="Z74" s="33"/>
      <c r="AA74" s="33"/>
    </row>
    <row r="75" customFormat="false" ht="15" hidden="false" customHeight="false" outlineLevel="0" collapsed="false">
      <c r="A75" s="33"/>
      <c r="B75" s="33"/>
      <c r="C75" s="33"/>
      <c r="D75" s="33"/>
      <c r="E75" s="33"/>
      <c r="F75" s="33"/>
      <c r="G75" s="33"/>
      <c r="H75" s="33"/>
      <c r="I75" s="33"/>
      <c r="J75" s="34"/>
      <c r="K75" s="34"/>
      <c r="L75" s="35" t="str">
        <f aca="false">IF($J75="","",$J75-IF($K75="",0,$K75))</f>
        <v/>
      </c>
      <c r="M75" s="36"/>
      <c r="N75" s="33"/>
      <c r="O75" s="33"/>
      <c r="P75" s="37"/>
      <c r="Q75" s="34"/>
      <c r="R75" s="34"/>
      <c r="S75" s="38" t="str">
        <f aca="false">IF(OR($Q75="",$R75="",$R75=0),"",$Q75/$R75)</f>
        <v/>
      </c>
      <c r="T75" s="18" t="str">
        <f aca="false">IF($S75="","",IF($S75&gt;=0.5,"PROCEDE BAJA","EVALUAR REPARACION"))</f>
        <v/>
      </c>
      <c r="U75" s="34"/>
      <c r="V75" s="33"/>
      <c r="W75" s="33"/>
      <c r="X75" s="33"/>
      <c r="Y75" s="33"/>
      <c r="Z75" s="33"/>
      <c r="AA75" s="33"/>
    </row>
    <row r="76" customFormat="false" ht="15" hidden="false" customHeight="false" outlineLevel="0" collapsed="false">
      <c r="A76" s="33"/>
      <c r="B76" s="33"/>
      <c r="C76" s="33"/>
      <c r="D76" s="33"/>
      <c r="E76" s="33"/>
      <c r="F76" s="33"/>
      <c r="G76" s="33"/>
      <c r="H76" s="33"/>
      <c r="I76" s="33"/>
      <c r="J76" s="34"/>
      <c r="K76" s="34"/>
      <c r="L76" s="35" t="str">
        <f aca="false">IF($J76="","",$J76-IF($K76="",0,$K76))</f>
        <v/>
      </c>
      <c r="M76" s="36"/>
      <c r="N76" s="33"/>
      <c r="O76" s="33"/>
      <c r="P76" s="37"/>
      <c r="Q76" s="34"/>
      <c r="R76" s="34"/>
      <c r="S76" s="38" t="str">
        <f aca="false">IF(OR($Q76="",$R76="",$R76=0),"",$Q76/$R76)</f>
        <v/>
      </c>
      <c r="T76" s="18" t="str">
        <f aca="false">IF($S76="","",IF($S76&gt;=0.5,"PROCEDE BAJA","EVALUAR REPARACION"))</f>
        <v/>
      </c>
      <c r="U76" s="34"/>
      <c r="V76" s="33"/>
      <c r="W76" s="33"/>
      <c r="X76" s="33"/>
      <c r="Y76" s="33"/>
      <c r="Z76" s="33"/>
      <c r="AA76" s="33"/>
    </row>
    <row r="77" customFormat="false" ht="15" hidden="false" customHeight="false" outlineLevel="0" collapsed="false">
      <c r="A77" s="33"/>
      <c r="B77" s="33"/>
      <c r="C77" s="33"/>
      <c r="D77" s="33"/>
      <c r="E77" s="33"/>
      <c r="F77" s="33"/>
      <c r="G77" s="33"/>
      <c r="H77" s="33"/>
      <c r="I77" s="33"/>
      <c r="J77" s="34"/>
      <c r="K77" s="34"/>
      <c r="L77" s="35" t="str">
        <f aca="false">IF($J77="","",$J77-IF($K77="",0,$K77))</f>
        <v/>
      </c>
      <c r="M77" s="36"/>
      <c r="N77" s="33"/>
      <c r="O77" s="33"/>
      <c r="P77" s="37"/>
      <c r="Q77" s="34"/>
      <c r="R77" s="34"/>
      <c r="S77" s="38" t="str">
        <f aca="false">IF(OR($Q77="",$R77="",$R77=0),"",$Q77/$R77)</f>
        <v/>
      </c>
      <c r="T77" s="18" t="str">
        <f aca="false">IF($S77="","",IF($S77&gt;=0.5,"PROCEDE BAJA","EVALUAR REPARACION"))</f>
        <v/>
      </c>
      <c r="U77" s="34"/>
      <c r="V77" s="33"/>
      <c r="W77" s="33"/>
      <c r="X77" s="33"/>
      <c r="Y77" s="33"/>
      <c r="Z77" s="33"/>
      <c r="AA77" s="33"/>
    </row>
    <row r="78" customFormat="false" ht="15" hidden="false" customHeight="false" outlineLevel="0" collapsed="false">
      <c r="A78" s="33"/>
      <c r="B78" s="33"/>
      <c r="C78" s="33"/>
      <c r="D78" s="33"/>
      <c r="E78" s="33"/>
      <c r="F78" s="33"/>
      <c r="G78" s="33"/>
      <c r="H78" s="33"/>
      <c r="I78" s="33"/>
      <c r="J78" s="34"/>
      <c r="K78" s="34"/>
      <c r="L78" s="35" t="str">
        <f aca="false">IF($J78="","",$J78-IF($K78="",0,$K78))</f>
        <v/>
      </c>
      <c r="M78" s="36"/>
      <c r="N78" s="33"/>
      <c r="O78" s="33"/>
      <c r="P78" s="37"/>
      <c r="Q78" s="34"/>
      <c r="R78" s="34"/>
      <c r="S78" s="38" t="str">
        <f aca="false">IF(OR($Q78="",$R78="",$R78=0),"",$Q78/$R78)</f>
        <v/>
      </c>
      <c r="T78" s="18" t="str">
        <f aca="false">IF($S78="","",IF($S78&gt;=0.5,"PROCEDE BAJA","EVALUAR REPARACION"))</f>
        <v/>
      </c>
      <c r="U78" s="34"/>
      <c r="V78" s="33"/>
      <c r="W78" s="33"/>
      <c r="X78" s="33"/>
      <c r="Y78" s="33"/>
      <c r="Z78" s="33"/>
      <c r="AA78" s="33"/>
    </row>
    <row r="79" customFormat="false" ht="15" hidden="false" customHeight="false" outlineLevel="0" collapsed="false">
      <c r="A79" s="33"/>
      <c r="B79" s="33"/>
      <c r="C79" s="33"/>
      <c r="D79" s="33"/>
      <c r="E79" s="33"/>
      <c r="F79" s="33"/>
      <c r="G79" s="33"/>
      <c r="H79" s="33"/>
      <c r="I79" s="33"/>
      <c r="J79" s="34"/>
      <c r="K79" s="34"/>
      <c r="L79" s="35" t="str">
        <f aca="false">IF($J79="","",$J79-IF($K79="",0,$K79))</f>
        <v/>
      </c>
      <c r="M79" s="36"/>
      <c r="N79" s="33"/>
      <c r="O79" s="33"/>
      <c r="P79" s="37"/>
      <c r="Q79" s="34"/>
      <c r="R79" s="34"/>
      <c r="S79" s="38" t="str">
        <f aca="false">IF(OR($Q79="",$R79="",$R79=0),"",$Q79/$R79)</f>
        <v/>
      </c>
      <c r="T79" s="18" t="str">
        <f aca="false">IF($S79="","",IF($S79&gt;=0.5,"PROCEDE BAJA","EVALUAR REPARACION"))</f>
        <v/>
      </c>
      <c r="U79" s="34"/>
      <c r="V79" s="33"/>
      <c r="W79" s="33"/>
      <c r="X79" s="33"/>
      <c r="Y79" s="33"/>
      <c r="Z79" s="33"/>
      <c r="AA79" s="33"/>
    </row>
    <row r="80" customFormat="false" ht="15" hidden="false" customHeight="false" outlineLevel="0" collapsed="false">
      <c r="A80" s="33"/>
      <c r="B80" s="33"/>
      <c r="C80" s="33"/>
      <c r="D80" s="33"/>
      <c r="E80" s="33"/>
      <c r="F80" s="33"/>
      <c r="G80" s="33"/>
      <c r="H80" s="33"/>
      <c r="I80" s="33"/>
      <c r="J80" s="34"/>
      <c r="K80" s="34"/>
      <c r="L80" s="35" t="str">
        <f aca="false">IF($J80="","",$J80-IF($K80="",0,$K80))</f>
        <v/>
      </c>
      <c r="M80" s="36"/>
      <c r="N80" s="33"/>
      <c r="O80" s="33"/>
      <c r="P80" s="37"/>
      <c r="Q80" s="34"/>
      <c r="R80" s="34"/>
      <c r="S80" s="38" t="str">
        <f aca="false">IF(OR($Q80="",$R80="",$R80=0),"",$Q80/$R80)</f>
        <v/>
      </c>
      <c r="T80" s="18" t="str">
        <f aca="false">IF($S80="","",IF($S80&gt;=0.5,"PROCEDE BAJA","EVALUAR REPARACION"))</f>
        <v/>
      </c>
      <c r="U80" s="34"/>
      <c r="V80" s="33"/>
      <c r="W80" s="33"/>
      <c r="X80" s="33"/>
      <c r="Y80" s="33"/>
      <c r="Z80" s="33"/>
      <c r="AA80" s="33"/>
    </row>
    <row r="81" customFormat="false" ht="15" hidden="false" customHeight="false" outlineLevel="0" collapsed="false">
      <c r="A81" s="33"/>
      <c r="B81" s="33"/>
      <c r="C81" s="33"/>
      <c r="D81" s="33"/>
      <c r="E81" s="33"/>
      <c r="F81" s="33"/>
      <c r="G81" s="33"/>
      <c r="H81" s="33"/>
      <c r="I81" s="33"/>
      <c r="J81" s="34"/>
      <c r="K81" s="34"/>
      <c r="L81" s="35" t="str">
        <f aca="false">IF($J81="","",$J81-IF($K81="",0,$K81))</f>
        <v/>
      </c>
      <c r="M81" s="36"/>
      <c r="N81" s="33"/>
      <c r="O81" s="33"/>
      <c r="P81" s="37"/>
      <c r="Q81" s="34"/>
      <c r="R81" s="34"/>
      <c r="S81" s="38" t="str">
        <f aca="false">IF(OR($Q81="",$R81="",$R81=0),"",$Q81/$R81)</f>
        <v/>
      </c>
      <c r="T81" s="18" t="str">
        <f aca="false">IF($S81="","",IF($S81&gt;=0.5,"PROCEDE BAJA","EVALUAR REPARACION"))</f>
        <v/>
      </c>
      <c r="U81" s="34"/>
      <c r="V81" s="33"/>
      <c r="W81" s="33"/>
      <c r="X81" s="33"/>
      <c r="Y81" s="33"/>
      <c r="Z81" s="33"/>
      <c r="AA81" s="33"/>
    </row>
    <row r="82" customFormat="false" ht="15" hidden="false" customHeight="false" outlineLevel="0" collapsed="false">
      <c r="A82" s="33"/>
      <c r="B82" s="33"/>
      <c r="C82" s="33"/>
      <c r="D82" s="33"/>
      <c r="E82" s="33"/>
      <c r="F82" s="33"/>
      <c r="G82" s="33"/>
      <c r="H82" s="33"/>
      <c r="I82" s="33"/>
      <c r="J82" s="34"/>
      <c r="K82" s="34"/>
      <c r="L82" s="35" t="str">
        <f aca="false">IF($J82="","",$J82-IF($K82="",0,$K82))</f>
        <v/>
      </c>
      <c r="M82" s="36"/>
      <c r="N82" s="33"/>
      <c r="O82" s="33"/>
      <c r="P82" s="37"/>
      <c r="Q82" s="34"/>
      <c r="R82" s="34"/>
      <c r="S82" s="38" t="str">
        <f aca="false">IF(OR($Q82="",$R82="",$R82=0),"",$Q82/$R82)</f>
        <v/>
      </c>
      <c r="T82" s="18" t="str">
        <f aca="false">IF($S82="","",IF($S82&gt;=0.5,"PROCEDE BAJA","EVALUAR REPARACION"))</f>
        <v/>
      </c>
      <c r="U82" s="34"/>
      <c r="V82" s="33"/>
      <c r="W82" s="33"/>
      <c r="X82" s="33"/>
      <c r="Y82" s="33"/>
      <c r="Z82" s="33"/>
      <c r="AA82" s="33"/>
    </row>
    <row r="83" customFormat="false" ht="15" hidden="false" customHeight="false" outlineLevel="0" collapsed="false">
      <c r="A83" s="33"/>
      <c r="B83" s="33"/>
      <c r="C83" s="33"/>
      <c r="D83" s="33"/>
      <c r="E83" s="33"/>
      <c r="F83" s="33"/>
      <c r="G83" s="33"/>
      <c r="H83" s="33"/>
      <c r="I83" s="33"/>
      <c r="J83" s="34"/>
      <c r="K83" s="34"/>
      <c r="L83" s="35" t="str">
        <f aca="false">IF($J83="","",$J83-IF($K83="",0,$K83))</f>
        <v/>
      </c>
      <c r="M83" s="36"/>
      <c r="N83" s="33"/>
      <c r="O83" s="33"/>
      <c r="P83" s="37"/>
      <c r="Q83" s="34"/>
      <c r="R83" s="34"/>
      <c r="S83" s="38" t="str">
        <f aca="false">IF(OR($Q83="",$R83="",$R83=0),"",$Q83/$R83)</f>
        <v/>
      </c>
      <c r="T83" s="18" t="str">
        <f aca="false">IF($S83="","",IF($S83&gt;=0.5,"PROCEDE BAJA","EVALUAR REPARACION"))</f>
        <v/>
      </c>
      <c r="U83" s="34"/>
      <c r="V83" s="33"/>
      <c r="W83" s="33"/>
      <c r="X83" s="33"/>
      <c r="Y83" s="33"/>
      <c r="Z83" s="33"/>
      <c r="AA83" s="33"/>
    </row>
    <row r="84" customFormat="false" ht="15" hidden="false" customHeight="false" outlineLevel="0" collapsed="false">
      <c r="A84" s="33"/>
      <c r="B84" s="33"/>
      <c r="C84" s="33"/>
      <c r="D84" s="33"/>
      <c r="E84" s="33"/>
      <c r="F84" s="33"/>
      <c r="G84" s="33"/>
      <c r="H84" s="33"/>
      <c r="I84" s="33"/>
      <c r="J84" s="34"/>
      <c r="K84" s="34"/>
      <c r="L84" s="35" t="str">
        <f aca="false">IF($J84="","",$J84-IF($K84="",0,$K84))</f>
        <v/>
      </c>
      <c r="M84" s="36"/>
      <c r="N84" s="33"/>
      <c r="O84" s="33"/>
      <c r="P84" s="37"/>
      <c r="Q84" s="34"/>
      <c r="R84" s="34"/>
      <c r="S84" s="38" t="str">
        <f aca="false">IF(OR($Q84="",$R84="",$R84=0),"",$Q84/$R84)</f>
        <v/>
      </c>
      <c r="T84" s="18" t="str">
        <f aca="false">IF($S84="","",IF($S84&gt;=0.5,"PROCEDE BAJA","EVALUAR REPARACION"))</f>
        <v/>
      </c>
      <c r="U84" s="34"/>
      <c r="V84" s="33"/>
      <c r="W84" s="33"/>
      <c r="X84" s="33"/>
      <c r="Y84" s="33"/>
      <c r="Z84" s="33"/>
      <c r="AA84" s="33"/>
    </row>
    <row r="85" customFormat="false" ht="15" hidden="false" customHeight="false" outlineLevel="0" collapsed="false">
      <c r="A85" s="33"/>
      <c r="B85" s="33"/>
      <c r="C85" s="33"/>
      <c r="D85" s="33"/>
      <c r="E85" s="33"/>
      <c r="F85" s="33"/>
      <c r="G85" s="33"/>
      <c r="H85" s="33"/>
      <c r="I85" s="33"/>
      <c r="J85" s="34"/>
      <c r="K85" s="34"/>
      <c r="L85" s="35" t="str">
        <f aca="false">IF($J85="","",$J85-IF($K85="",0,$K85))</f>
        <v/>
      </c>
      <c r="M85" s="36"/>
      <c r="N85" s="33"/>
      <c r="O85" s="33"/>
      <c r="P85" s="37"/>
      <c r="Q85" s="34"/>
      <c r="R85" s="34"/>
      <c r="S85" s="38" t="str">
        <f aca="false">IF(OR($Q85="",$R85="",$R85=0),"",$Q85/$R85)</f>
        <v/>
      </c>
      <c r="T85" s="18" t="str">
        <f aca="false">IF($S85="","",IF($S85&gt;=0.5,"PROCEDE BAJA","EVALUAR REPARACION"))</f>
        <v/>
      </c>
      <c r="U85" s="34"/>
      <c r="V85" s="33"/>
      <c r="W85" s="33"/>
      <c r="X85" s="33"/>
      <c r="Y85" s="33"/>
      <c r="Z85" s="33"/>
      <c r="AA85" s="33"/>
    </row>
    <row r="86" customFormat="false" ht="15" hidden="false" customHeight="false" outlineLevel="0" collapsed="false">
      <c r="A86" s="33"/>
      <c r="B86" s="33"/>
      <c r="C86" s="33"/>
      <c r="D86" s="33"/>
      <c r="E86" s="33"/>
      <c r="F86" s="33"/>
      <c r="G86" s="33"/>
      <c r="H86" s="33"/>
      <c r="I86" s="33"/>
      <c r="J86" s="34"/>
      <c r="K86" s="34"/>
      <c r="L86" s="35" t="str">
        <f aca="false">IF($J86="","",$J86-IF($K86="",0,$K86))</f>
        <v/>
      </c>
      <c r="M86" s="36"/>
      <c r="N86" s="33"/>
      <c r="O86" s="33"/>
      <c r="P86" s="37"/>
      <c r="Q86" s="34"/>
      <c r="R86" s="34"/>
      <c r="S86" s="38" t="str">
        <f aca="false">IF(OR($Q86="",$R86="",$R86=0),"",$Q86/$R86)</f>
        <v/>
      </c>
      <c r="T86" s="18" t="str">
        <f aca="false">IF($S86="","",IF($S86&gt;=0.5,"PROCEDE BAJA","EVALUAR REPARACION"))</f>
        <v/>
      </c>
      <c r="U86" s="34"/>
      <c r="V86" s="33"/>
      <c r="W86" s="33"/>
      <c r="X86" s="33"/>
      <c r="Y86" s="33"/>
      <c r="Z86" s="33"/>
      <c r="AA86" s="33"/>
    </row>
    <row r="87" customFormat="false" ht="15" hidden="false" customHeight="false" outlineLevel="0" collapsed="false">
      <c r="A87" s="33"/>
      <c r="B87" s="33"/>
      <c r="C87" s="33"/>
      <c r="D87" s="33"/>
      <c r="E87" s="33"/>
      <c r="F87" s="33"/>
      <c r="G87" s="33"/>
      <c r="H87" s="33"/>
      <c r="I87" s="33"/>
      <c r="J87" s="34"/>
      <c r="K87" s="34"/>
      <c r="L87" s="35" t="str">
        <f aca="false">IF($J87="","",$J87-IF($K87="",0,$K87))</f>
        <v/>
      </c>
      <c r="M87" s="36"/>
      <c r="N87" s="33"/>
      <c r="O87" s="33"/>
      <c r="P87" s="37"/>
      <c r="Q87" s="34"/>
      <c r="R87" s="34"/>
      <c r="S87" s="38" t="str">
        <f aca="false">IF(OR($Q87="",$R87="",$R87=0),"",$Q87/$R87)</f>
        <v/>
      </c>
      <c r="T87" s="18" t="str">
        <f aca="false">IF($S87="","",IF($S87&gt;=0.5,"PROCEDE BAJA","EVALUAR REPARACION"))</f>
        <v/>
      </c>
      <c r="U87" s="34"/>
      <c r="V87" s="33"/>
      <c r="W87" s="33"/>
      <c r="X87" s="33"/>
      <c r="Y87" s="33"/>
      <c r="Z87" s="33"/>
      <c r="AA87" s="33"/>
    </row>
    <row r="88" customFormat="false" ht="15" hidden="false" customHeight="false" outlineLevel="0" collapsed="false">
      <c r="A88" s="33"/>
      <c r="B88" s="33"/>
      <c r="C88" s="33"/>
      <c r="D88" s="33"/>
      <c r="E88" s="33"/>
      <c r="F88" s="33"/>
      <c r="G88" s="33"/>
      <c r="H88" s="33"/>
      <c r="I88" s="33"/>
      <c r="J88" s="34"/>
      <c r="K88" s="34"/>
      <c r="L88" s="35" t="str">
        <f aca="false">IF($J88="","",$J88-IF($K88="",0,$K88))</f>
        <v/>
      </c>
      <c r="M88" s="36"/>
      <c r="N88" s="33"/>
      <c r="O88" s="33"/>
      <c r="P88" s="37"/>
      <c r="Q88" s="34"/>
      <c r="R88" s="34"/>
      <c r="S88" s="38" t="str">
        <f aca="false">IF(OR($Q88="",$R88="",$R88=0),"",$Q88/$R88)</f>
        <v/>
      </c>
      <c r="T88" s="18" t="str">
        <f aca="false">IF($S88="","",IF($S88&gt;=0.5,"PROCEDE BAJA","EVALUAR REPARACION"))</f>
        <v/>
      </c>
      <c r="U88" s="34"/>
      <c r="V88" s="33"/>
      <c r="W88" s="33"/>
      <c r="X88" s="33"/>
      <c r="Y88" s="33"/>
      <c r="Z88" s="33"/>
      <c r="AA88" s="33"/>
    </row>
    <row r="89" customFormat="false" ht="15" hidden="false" customHeight="false" outlineLevel="0" collapsed="false">
      <c r="A89" s="33"/>
      <c r="B89" s="33"/>
      <c r="C89" s="33"/>
      <c r="D89" s="33"/>
      <c r="E89" s="33"/>
      <c r="F89" s="33"/>
      <c r="G89" s="33"/>
      <c r="H89" s="33"/>
      <c r="I89" s="33"/>
      <c r="J89" s="34"/>
      <c r="K89" s="34"/>
      <c r="L89" s="35" t="str">
        <f aca="false">IF($J89="","",$J89-IF($K89="",0,$K89))</f>
        <v/>
      </c>
      <c r="M89" s="36"/>
      <c r="N89" s="33"/>
      <c r="O89" s="33"/>
      <c r="P89" s="37"/>
      <c r="Q89" s="34"/>
      <c r="R89" s="34"/>
      <c r="S89" s="38" t="str">
        <f aca="false">IF(OR($Q89="",$R89="",$R89=0),"",$Q89/$R89)</f>
        <v/>
      </c>
      <c r="T89" s="18" t="str">
        <f aca="false">IF($S89="","",IF($S89&gt;=0.5,"PROCEDE BAJA","EVALUAR REPARACION"))</f>
        <v/>
      </c>
      <c r="U89" s="34"/>
      <c r="V89" s="33"/>
      <c r="W89" s="33"/>
      <c r="X89" s="33"/>
      <c r="Y89" s="33"/>
      <c r="Z89" s="33"/>
      <c r="AA89" s="33"/>
    </row>
    <row r="90" customFormat="false" ht="15" hidden="false" customHeight="false" outlineLevel="0" collapsed="false">
      <c r="A90" s="33"/>
      <c r="B90" s="33"/>
      <c r="C90" s="33"/>
      <c r="D90" s="33"/>
      <c r="E90" s="33"/>
      <c r="F90" s="33"/>
      <c r="G90" s="33"/>
      <c r="H90" s="33"/>
      <c r="I90" s="33"/>
      <c r="J90" s="34"/>
      <c r="K90" s="34"/>
      <c r="L90" s="35" t="str">
        <f aca="false">IF($J90="","",$J90-IF($K90="",0,$K90))</f>
        <v/>
      </c>
      <c r="M90" s="36"/>
      <c r="N90" s="33"/>
      <c r="O90" s="33"/>
      <c r="P90" s="37"/>
      <c r="Q90" s="34"/>
      <c r="R90" s="34"/>
      <c r="S90" s="38" t="str">
        <f aca="false">IF(OR($Q90="",$R90="",$R90=0),"",$Q90/$R90)</f>
        <v/>
      </c>
      <c r="T90" s="18" t="str">
        <f aca="false">IF($S90="","",IF($S90&gt;=0.5,"PROCEDE BAJA","EVALUAR REPARACION"))</f>
        <v/>
      </c>
      <c r="U90" s="34"/>
      <c r="V90" s="33"/>
      <c r="W90" s="33"/>
      <c r="X90" s="33"/>
      <c r="Y90" s="33"/>
      <c r="Z90" s="33"/>
      <c r="AA90" s="33"/>
    </row>
    <row r="91" customFormat="false" ht="15" hidden="false" customHeight="false" outlineLevel="0" collapsed="false">
      <c r="A91" s="33"/>
      <c r="B91" s="33"/>
      <c r="C91" s="33"/>
      <c r="D91" s="33"/>
      <c r="E91" s="33"/>
      <c r="F91" s="33"/>
      <c r="G91" s="33"/>
      <c r="H91" s="33"/>
      <c r="I91" s="33"/>
      <c r="J91" s="34"/>
      <c r="K91" s="34"/>
      <c r="L91" s="35" t="str">
        <f aca="false">IF($J91="","",$J91-IF($K91="",0,$K91))</f>
        <v/>
      </c>
      <c r="M91" s="36"/>
      <c r="N91" s="33"/>
      <c r="O91" s="33"/>
      <c r="P91" s="37"/>
      <c r="Q91" s="34"/>
      <c r="R91" s="34"/>
      <c r="S91" s="38" t="str">
        <f aca="false">IF(OR($Q91="",$R91="",$R91=0),"",$Q91/$R91)</f>
        <v/>
      </c>
      <c r="T91" s="18" t="str">
        <f aca="false">IF($S91="","",IF($S91&gt;=0.5,"PROCEDE BAJA","EVALUAR REPARACION"))</f>
        <v/>
      </c>
      <c r="U91" s="34"/>
      <c r="V91" s="33"/>
      <c r="W91" s="33"/>
      <c r="X91" s="33"/>
      <c r="Y91" s="33"/>
      <c r="Z91" s="33"/>
      <c r="AA91" s="33"/>
    </row>
    <row r="92" customFormat="false" ht="15" hidden="false" customHeight="false" outlineLevel="0" collapsed="false">
      <c r="A92" s="33"/>
      <c r="B92" s="33"/>
      <c r="C92" s="33"/>
      <c r="D92" s="33"/>
      <c r="E92" s="33"/>
      <c r="F92" s="33"/>
      <c r="G92" s="33"/>
      <c r="H92" s="33"/>
      <c r="I92" s="33"/>
      <c r="J92" s="34"/>
      <c r="K92" s="34"/>
      <c r="L92" s="35" t="str">
        <f aca="false">IF($J92="","",$J92-IF($K92="",0,$K92))</f>
        <v/>
      </c>
      <c r="M92" s="36"/>
      <c r="N92" s="33"/>
      <c r="O92" s="33"/>
      <c r="P92" s="37"/>
      <c r="Q92" s="34"/>
      <c r="R92" s="34"/>
      <c r="S92" s="38" t="str">
        <f aca="false">IF(OR($Q92="",$R92="",$R92=0),"",$Q92/$R92)</f>
        <v/>
      </c>
      <c r="T92" s="18" t="str">
        <f aca="false">IF($S92="","",IF($S92&gt;=0.5,"PROCEDE BAJA","EVALUAR REPARACION"))</f>
        <v/>
      </c>
      <c r="U92" s="34"/>
      <c r="V92" s="33"/>
      <c r="W92" s="33"/>
      <c r="X92" s="33"/>
      <c r="Y92" s="33"/>
      <c r="Z92" s="33"/>
      <c r="AA92" s="33"/>
    </row>
    <row r="93" customFormat="false" ht="15" hidden="false" customHeight="false" outlineLevel="0" collapsed="false">
      <c r="A93" s="33"/>
      <c r="B93" s="33"/>
      <c r="C93" s="33"/>
      <c r="D93" s="33"/>
      <c r="E93" s="33"/>
      <c r="F93" s="33"/>
      <c r="G93" s="33"/>
      <c r="H93" s="33"/>
      <c r="I93" s="33"/>
      <c r="J93" s="34"/>
      <c r="K93" s="34"/>
      <c r="L93" s="35" t="str">
        <f aca="false">IF($J93="","",$J93-IF($K93="",0,$K93))</f>
        <v/>
      </c>
      <c r="M93" s="36"/>
      <c r="N93" s="33"/>
      <c r="O93" s="33"/>
      <c r="P93" s="37"/>
      <c r="Q93" s="34"/>
      <c r="R93" s="34"/>
      <c r="S93" s="38" t="str">
        <f aca="false">IF(OR($Q93="",$R93="",$R93=0),"",$Q93/$R93)</f>
        <v/>
      </c>
      <c r="T93" s="18" t="str">
        <f aca="false">IF($S93="","",IF($S93&gt;=0.5,"PROCEDE BAJA","EVALUAR REPARACION"))</f>
        <v/>
      </c>
      <c r="U93" s="34"/>
      <c r="V93" s="33"/>
      <c r="W93" s="33"/>
      <c r="X93" s="33"/>
      <c r="Y93" s="33"/>
      <c r="Z93" s="33"/>
      <c r="AA93" s="33"/>
    </row>
    <row r="94" customFormat="false" ht="15" hidden="false" customHeight="false" outlineLevel="0" collapsed="false">
      <c r="A94" s="33"/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35" t="str">
        <f aca="false">IF($J94="","",$J94-IF($K94="",0,$K94))</f>
        <v/>
      </c>
      <c r="M94" s="36"/>
      <c r="N94" s="33"/>
      <c r="O94" s="33"/>
      <c r="P94" s="37"/>
      <c r="Q94" s="34"/>
      <c r="R94" s="34"/>
      <c r="S94" s="38" t="str">
        <f aca="false">IF(OR($Q94="",$R94="",$R94=0),"",$Q94/$R94)</f>
        <v/>
      </c>
      <c r="T94" s="18" t="str">
        <f aca="false">IF($S94="","",IF($S94&gt;=0.5,"PROCEDE BAJA","EVALUAR REPARACION"))</f>
        <v/>
      </c>
      <c r="U94" s="34"/>
      <c r="V94" s="33"/>
      <c r="W94" s="33"/>
      <c r="X94" s="33"/>
      <c r="Y94" s="33"/>
      <c r="Z94" s="33"/>
      <c r="AA94" s="33"/>
    </row>
    <row r="95" customFormat="false" ht="15" hidden="false" customHeight="false" outlineLevel="0" collapsed="false">
      <c r="A95" s="33"/>
      <c r="B95" s="33"/>
      <c r="C95" s="33"/>
      <c r="D95" s="33"/>
      <c r="E95" s="33"/>
      <c r="F95" s="33"/>
      <c r="G95" s="33"/>
      <c r="H95" s="33"/>
      <c r="I95" s="33"/>
      <c r="J95" s="34"/>
      <c r="K95" s="34"/>
      <c r="L95" s="35" t="str">
        <f aca="false">IF($J95="","",$J95-IF($K95="",0,$K95))</f>
        <v/>
      </c>
      <c r="M95" s="36"/>
      <c r="N95" s="33"/>
      <c r="O95" s="33"/>
      <c r="P95" s="37"/>
      <c r="Q95" s="34"/>
      <c r="R95" s="34"/>
      <c r="S95" s="38" t="str">
        <f aca="false">IF(OR($Q95="",$R95="",$R95=0),"",$Q95/$R95)</f>
        <v/>
      </c>
      <c r="T95" s="18" t="str">
        <f aca="false">IF($S95="","",IF($S95&gt;=0.5,"PROCEDE BAJA","EVALUAR REPARACION"))</f>
        <v/>
      </c>
      <c r="U95" s="34"/>
      <c r="V95" s="33"/>
      <c r="W95" s="33"/>
      <c r="X95" s="33"/>
      <c r="Y95" s="33"/>
      <c r="Z95" s="33"/>
      <c r="AA95" s="33"/>
    </row>
    <row r="96" customFormat="false" ht="15" hidden="false" customHeight="false" outlineLevel="0" collapsed="false">
      <c r="A96" s="33"/>
      <c r="B96" s="33"/>
      <c r="C96" s="33"/>
      <c r="D96" s="33"/>
      <c r="E96" s="33"/>
      <c r="F96" s="33"/>
      <c r="G96" s="33"/>
      <c r="H96" s="33"/>
      <c r="I96" s="33"/>
      <c r="J96" s="34"/>
      <c r="K96" s="34"/>
      <c r="L96" s="35" t="str">
        <f aca="false">IF($J96="","",$J96-IF($K96="",0,$K96))</f>
        <v/>
      </c>
      <c r="M96" s="36"/>
      <c r="N96" s="33"/>
      <c r="O96" s="33"/>
      <c r="P96" s="37"/>
      <c r="Q96" s="34"/>
      <c r="R96" s="34"/>
      <c r="S96" s="38" t="str">
        <f aca="false">IF(OR($Q96="",$R96="",$R96=0),"",$Q96/$R96)</f>
        <v/>
      </c>
      <c r="T96" s="18" t="str">
        <f aca="false">IF($S96="","",IF($S96&gt;=0.5,"PROCEDE BAJA","EVALUAR REPARACION"))</f>
        <v/>
      </c>
      <c r="U96" s="34"/>
      <c r="V96" s="33"/>
      <c r="W96" s="33"/>
      <c r="X96" s="33"/>
      <c r="Y96" s="33"/>
      <c r="Z96" s="33"/>
      <c r="AA96" s="33"/>
    </row>
    <row r="97" customFormat="false" ht="15" hidden="false" customHeight="false" outlineLevel="0" collapsed="false">
      <c r="A97" s="33"/>
      <c r="B97" s="33"/>
      <c r="C97" s="33"/>
      <c r="D97" s="33"/>
      <c r="E97" s="33"/>
      <c r="F97" s="33"/>
      <c r="G97" s="33"/>
      <c r="H97" s="33"/>
      <c r="I97" s="33"/>
      <c r="J97" s="34"/>
      <c r="K97" s="34"/>
      <c r="L97" s="35" t="str">
        <f aca="false">IF($J97="","",$J97-IF($K97="",0,$K97))</f>
        <v/>
      </c>
      <c r="M97" s="36"/>
      <c r="N97" s="33"/>
      <c r="O97" s="33"/>
      <c r="P97" s="37"/>
      <c r="Q97" s="34"/>
      <c r="R97" s="34"/>
      <c r="S97" s="38" t="str">
        <f aca="false">IF(OR($Q97="",$R97="",$R97=0),"",$Q97/$R97)</f>
        <v/>
      </c>
      <c r="T97" s="18" t="str">
        <f aca="false">IF($S97="","",IF($S97&gt;=0.5,"PROCEDE BAJA","EVALUAR REPARACION"))</f>
        <v/>
      </c>
      <c r="U97" s="34"/>
      <c r="V97" s="33"/>
      <c r="W97" s="33"/>
      <c r="X97" s="33"/>
      <c r="Y97" s="33"/>
      <c r="Z97" s="33"/>
      <c r="AA97" s="33"/>
    </row>
    <row r="98" customFormat="false" ht="15" hidden="false" customHeight="false" outlineLevel="0" collapsed="false">
      <c r="A98" s="33"/>
      <c r="B98" s="33"/>
      <c r="C98" s="33"/>
      <c r="D98" s="33"/>
      <c r="E98" s="33"/>
      <c r="F98" s="33"/>
      <c r="G98" s="33"/>
      <c r="H98" s="33"/>
      <c r="I98" s="33"/>
      <c r="J98" s="34"/>
      <c r="K98" s="34"/>
      <c r="L98" s="35" t="str">
        <f aca="false">IF($J98="","",$J98-IF($K98="",0,$K98))</f>
        <v/>
      </c>
      <c r="M98" s="36"/>
      <c r="N98" s="33"/>
      <c r="O98" s="33"/>
      <c r="P98" s="37"/>
      <c r="Q98" s="34"/>
      <c r="R98" s="34"/>
      <c r="S98" s="38" t="str">
        <f aca="false">IF(OR($Q98="",$R98="",$R98=0),"",$Q98/$R98)</f>
        <v/>
      </c>
      <c r="T98" s="18" t="str">
        <f aca="false">IF($S98="","",IF($S98&gt;=0.5,"PROCEDE BAJA","EVALUAR REPARACION"))</f>
        <v/>
      </c>
      <c r="U98" s="34"/>
      <c r="V98" s="33"/>
      <c r="W98" s="33"/>
      <c r="X98" s="33"/>
      <c r="Y98" s="33"/>
      <c r="Z98" s="33"/>
      <c r="AA98" s="33"/>
    </row>
    <row r="99" customFormat="false" ht="15" hidden="false" customHeight="false" outlineLevel="0" collapsed="false">
      <c r="A99" s="33"/>
      <c r="B99" s="33"/>
      <c r="C99" s="33"/>
      <c r="D99" s="33"/>
      <c r="E99" s="33"/>
      <c r="F99" s="33"/>
      <c r="G99" s="33"/>
      <c r="H99" s="33"/>
      <c r="I99" s="33"/>
      <c r="J99" s="34"/>
      <c r="K99" s="34"/>
      <c r="L99" s="35" t="str">
        <f aca="false">IF($J99="","",$J99-IF($K99="",0,$K99))</f>
        <v/>
      </c>
      <c r="M99" s="36"/>
      <c r="N99" s="33"/>
      <c r="O99" s="33"/>
      <c r="P99" s="37"/>
      <c r="Q99" s="34"/>
      <c r="R99" s="34"/>
      <c r="S99" s="38" t="str">
        <f aca="false">IF(OR($Q99="",$R99="",$R99=0),"",$Q99/$R99)</f>
        <v/>
      </c>
      <c r="T99" s="18" t="str">
        <f aca="false">IF($S99="","",IF($S99&gt;=0.5,"PROCEDE BAJA","EVALUAR REPARACION"))</f>
        <v/>
      </c>
      <c r="U99" s="34"/>
      <c r="V99" s="33"/>
      <c r="W99" s="33"/>
      <c r="X99" s="33"/>
      <c r="Y99" s="33"/>
      <c r="Z99" s="33"/>
      <c r="AA99" s="33"/>
    </row>
    <row r="100" customFormat="false" ht="15" hidden="false" customHeight="false" outlineLevel="0" collapsed="false">
      <c r="A100" s="33"/>
      <c r="B100" s="33"/>
      <c r="C100" s="33"/>
      <c r="D100" s="33"/>
      <c r="E100" s="33"/>
      <c r="F100" s="33"/>
      <c r="G100" s="33"/>
      <c r="H100" s="33"/>
      <c r="I100" s="33"/>
      <c r="J100" s="34"/>
      <c r="K100" s="34"/>
      <c r="L100" s="35" t="str">
        <f aca="false">IF($J100="","",$J100-IF($K100="",0,$K100))</f>
        <v/>
      </c>
      <c r="M100" s="36"/>
      <c r="N100" s="33"/>
      <c r="O100" s="33"/>
      <c r="P100" s="37"/>
      <c r="Q100" s="34"/>
      <c r="R100" s="34"/>
      <c r="S100" s="38" t="str">
        <f aca="false">IF(OR($Q100="",$R100="",$R100=0),"",$Q100/$R100)</f>
        <v/>
      </c>
      <c r="T100" s="18" t="str">
        <f aca="false">IF($S100="","",IF($S100&gt;=0.5,"PROCEDE BAJA","EVALUAR REPARACION"))</f>
        <v/>
      </c>
      <c r="U100" s="34"/>
      <c r="V100" s="33"/>
      <c r="W100" s="33"/>
      <c r="X100" s="33"/>
      <c r="Y100" s="33"/>
      <c r="Z100" s="33"/>
      <c r="AA100" s="33"/>
    </row>
    <row r="101" customFormat="false" ht="15" hidden="false" customHeight="false" outlineLevel="0" collapsed="false">
      <c r="A101" s="33"/>
      <c r="B101" s="33"/>
      <c r="C101" s="33"/>
      <c r="D101" s="33"/>
      <c r="E101" s="33"/>
      <c r="F101" s="33"/>
      <c r="G101" s="33"/>
      <c r="H101" s="33"/>
      <c r="I101" s="33"/>
      <c r="J101" s="34"/>
      <c r="K101" s="34"/>
      <c r="L101" s="35" t="str">
        <f aca="false">IF($J101="","",$J101-IF($K101="",0,$K101))</f>
        <v/>
      </c>
      <c r="M101" s="36"/>
      <c r="N101" s="33"/>
      <c r="O101" s="33"/>
      <c r="P101" s="37"/>
      <c r="Q101" s="34"/>
      <c r="R101" s="34"/>
      <c r="S101" s="38" t="str">
        <f aca="false">IF(OR($Q101="",$R101="",$R101=0),"",$Q101/$R101)</f>
        <v/>
      </c>
      <c r="T101" s="18" t="str">
        <f aca="false">IF($S101="","",IF($S101&gt;=0.5,"PROCEDE BAJA","EVALUAR REPARACION"))</f>
        <v/>
      </c>
      <c r="U101" s="34"/>
      <c r="V101" s="33"/>
      <c r="W101" s="33"/>
      <c r="X101" s="33"/>
      <c r="Y101" s="33"/>
      <c r="Z101" s="33"/>
      <c r="AA101" s="33"/>
    </row>
    <row r="102" customFormat="false" ht="15" hidden="false" customHeight="false" outlineLevel="0" collapsed="false">
      <c r="A102" s="33"/>
      <c r="B102" s="33"/>
      <c r="C102" s="33"/>
      <c r="D102" s="33"/>
      <c r="E102" s="33"/>
      <c r="F102" s="33"/>
      <c r="G102" s="33"/>
      <c r="H102" s="33"/>
      <c r="I102" s="33"/>
      <c r="J102" s="34"/>
      <c r="K102" s="34"/>
      <c r="L102" s="35" t="str">
        <f aca="false">IF($J102="","",$J102-IF($K102="",0,$K102))</f>
        <v/>
      </c>
      <c r="M102" s="36"/>
      <c r="N102" s="33"/>
      <c r="O102" s="33"/>
      <c r="P102" s="37"/>
      <c r="Q102" s="34"/>
      <c r="R102" s="34"/>
      <c r="S102" s="38" t="str">
        <f aca="false">IF(OR($Q102="",$R102="",$R102=0),"",$Q102/$R102)</f>
        <v/>
      </c>
      <c r="T102" s="18" t="str">
        <f aca="false">IF($S102="","",IF($S102&gt;=0.5,"PROCEDE BAJA","EVALUAR REPARACION"))</f>
        <v/>
      </c>
      <c r="U102" s="34"/>
      <c r="V102" s="33"/>
      <c r="W102" s="33"/>
      <c r="X102" s="33"/>
      <c r="Y102" s="33"/>
      <c r="Z102" s="33"/>
      <c r="AA102" s="33"/>
    </row>
    <row r="103" customFormat="false" ht="15" hidden="false" customHeight="false" outlineLevel="0" collapsed="false">
      <c r="A103" s="33"/>
      <c r="B103" s="33"/>
      <c r="C103" s="33"/>
      <c r="D103" s="33"/>
      <c r="E103" s="33"/>
      <c r="F103" s="33"/>
      <c r="G103" s="33"/>
      <c r="H103" s="33"/>
      <c r="I103" s="33"/>
      <c r="J103" s="34"/>
      <c r="K103" s="34"/>
      <c r="L103" s="35" t="str">
        <f aca="false">IF($J103="","",$J103-IF($K103="",0,$K103))</f>
        <v/>
      </c>
      <c r="M103" s="36"/>
      <c r="N103" s="33"/>
      <c r="O103" s="33"/>
      <c r="P103" s="37"/>
      <c r="Q103" s="34"/>
      <c r="R103" s="34"/>
      <c r="S103" s="38" t="str">
        <f aca="false">IF(OR($Q103="",$R103="",$R103=0),"",$Q103/$R103)</f>
        <v/>
      </c>
      <c r="T103" s="18" t="str">
        <f aca="false">IF($S103="","",IF($S103&gt;=0.5,"PROCEDE BAJA","EVALUAR REPARACION"))</f>
        <v/>
      </c>
      <c r="U103" s="34"/>
      <c r="V103" s="33"/>
      <c r="W103" s="33"/>
      <c r="X103" s="33"/>
      <c r="Y103" s="33"/>
      <c r="Z103" s="33"/>
      <c r="AA103" s="33"/>
    </row>
    <row r="104" customFormat="false" ht="15" hidden="false" customHeight="false" outlineLevel="0" collapsed="false">
      <c r="A104" s="33"/>
      <c r="B104" s="33"/>
      <c r="C104" s="33"/>
      <c r="D104" s="33"/>
      <c r="E104" s="33"/>
      <c r="F104" s="33"/>
      <c r="G104" s="33"/>
      <c r="H104" s="33"/>
      <c r="I104" s="33"/>
      <c r="J104" s="34"/>
      <c r="K104" s="34"/>
      <c r="L104" s="35" t="str">
        <f aca="false">IF($J104="","",$J104-IF($K104="",0,$K104))</f>
        <v/>
      </c>
      <c r="M104" s="36"/>
      <c r="N104" s="33"/>
      <c r="O104" s="33"/>
      <c r="P104" s="37"/>
      <c r="Q104" s="34"/>
      <c r="R104" s="34"/>
      <c r="S104" s="38" t="str">
        <f aca="false">IF(OR($Q104="",$R104="",$R104=0),"",$Q104/$R104)</f>
        <v/>
      </c>
      <c r="T104" s="18" t="str">
        <f aca="false">IF($S104="","",IF($S104&gt;=0.5,"PROCEDE BAJA","EVALUAR REPARACION"))</f>
        <v/>
      </c>
      <c r="U104" s="34"/>
      <c r="V104" s="33"/>
      <c r="W104" s="33"/>
      <c r="X104" s="33"/>
      <c r="Y104" s="33"/>
      <c r="Z104" s="33"/>
      <c r="AA104" s="33"/>
    </row>
    <row r="105" customFormat="false" ht="15" hidden="false" customHeight="false" outlineLevel="0" collapsed="false">
      <c r="A105" s="33"/>
      <c r="B105" s="33"/>
      <c r="C105" s="33"/>
      <c r="D105" s="33"/>
      <c r="E105" s="33"/>
      <c r="F105" s="33"/>
      <c r="G105" s="33"/>
      <c r="H105" s="33"/>
      <c r="I105" s="33"/>
      <c r="J105" s="34"/>
      <c r="K105" s="34"/>
      <c r="L105" s="35" t="str">
        <f aca="false">IF($J105="","",$J105-IF($K105="",0,$K105))</f>
        <v/>
      </c>
      <c r="M105" s="36"/>
      <c r="N105" s="33"/>
      <c r="O105" s="33"/>
      <c r="P105" s="37"/>
      <c r="Q105" s="34"/>
      <c r="R105" s="34"/>
      <c r="S105" s="38" t="str">
        <f aca="false">IF(OR($Q105="",$R105="",$R105=0),"",$Q105/$R105)</f>
        <v/>
      </c>
      <c r="T105" s="18" t="str">
        <f aca="false">IF($S105="","",IF($S105&gt;=0.5,"PROCEDE BAJA","EVALUAR REPARACION"))</f>
        <v/>
      </c>
      <c r="U105" s="34"/>
      <c r="V105" s="33"/>
      <c r="W105" s="33"/>
      <c r="X105" s="33"/>
      <c r="Y105" s="33"/>
      <c r="Z105" s="33"/>
      <c r="AA105" s="33"/>
    </row>
    <row r="106" customFormat="false" ht="15" hidden="false" customHeight="false" outlineLevel="0" collapsed="false">
      <c r="A106" s="33"/>
      <c r="B106" s="33"/>
      <c r="C106" s="33"/>
      <c r="D106" s="33"/>
      <c r="E106" s="33"/>
      <c r="F106" s="33"/>
      <c r="G106" s="33"/>
      <c r="H106" s="33"/>
      <c r="I106" s="33"/>
      <c r="J106" s="34"/>
      <c r="K106" s="34"/>
      <c r="L106" s="35" t="str">
        <f aca="false">IF($J106="","",$J106-IF($K106="",0,$K106))</f>
        <v/>
      </c>
      <c r="M106" s="36"/>
      <c r="N106" s="33"/>
      <c r="O106" s="33"/>
      <c r="P106" s="37"/>
      <c r="Q106" s="34"/>
      <c r="R106" s="34"/>
      <c r="S106" s="38" t="str">
        <f aca="false">IF(OR($Q106="",$R106="",$R106=0),"",$Q106/$R106)</f>
        <v/>
      </c>
      <c r="T106" s="18" t="str">
        <f aca="false">IF($S106="","",IF($S106&gt;=0.5,"PROCEDE BAJA","EVALUAR REPARACION"))</f>
        <v/>
      </c>
      <c r="U106" s="34"/>
      <c r="V106" s="33"/>
      <c r="W106" s="33"/>
      <c r="X106" s="33"/>
      <c r="Y106" s="33"/>
      <c r="Z106" s="33"/>
      <c r="AA106" s="33"/>
    </row>
    <row r="107" customFormat="false" ht="15" hidden="false" customHeight="false" outlineLevel="0" collapsed="false">
      <c r="A107" s="33"/>
      <c r="B107" s="33"/>
      <c r="C107" s="33"/>
      <c r="D107" s="33"/>
      <c r="E107" s="33"/>
      <c r="F107" s="33"/>
      <c r="G107" s="33"/>
      <c r="H107" s="33"/>
      <c r="I107" s="33"/>
      <c r="J107" s="34"/>
      <c r="K107" s="34"/>
      <c r="L107" s="35" t="str">
        <f aca="false">IF($J107="","",$J107-IF($K107="",0,$K107))</f>
        <v/>
      </c>
      <c r="M107" s="36"/>
      <c r="N107" s="33"/>
      <c r="O107" s="33"/>
      <c r="P107" s="37"/>
      <c r="Q107" s="34"/>
      <c r="R107" s="34"/>
      <c r="S107" s="38" t="str">
        <f aca="false">IF(OR($Q107="",$R107="",$R107=0),"",$Q107/$R107)</f>
        <v/>
      </c>
      <c r="T107" s="18" t="str">
        <f aca="false">IF($S107="","",IF($S107&gt;=0.5,"PROCEDE BAJA","EVALUAR REPARACION"))</f>
        <v/>
      </c>
      <c r="U107" s="34"/>
      <c r="V107" s="33"/>
      <c r="W107" s="33"/>
      <c r="X107" s="33"/>
      <c r="Y107" s="33"/>
      <c r="Z107" s="33"/>
      <c r="AA107" s="33"/>
    </row>
    <row r="108" customFormat="false" ht="15" hidden="false" customHeight="false" outlineLevel="0" collapsed="false">
      <c r="A108" s="33"/>
      <c r="B108" s="33"/>
      <c r="C108" s="33"/>
      <c r="D108" s="33"/>
      <c r="E108" s="33"/>
      <c r="F108" s="33"/>
      <c r="G108" s="33"/>
      <c r="H108" s="33"/>
      <c r="I108" s="33"/>
      <c r="J108" s="34"/>
      <c r="K108" s="34"/>
      <c r="L108" s="35" t="str">
        <f aca="false">IF($J108="","",$J108-IF($K108="",0,$K108))</f>
        <v/>
      </c>
      <c r="M108" s="36"/>
      <c r="N108" s="33"/>
      <c r="O108" s="33"/>
      <c r="P108" s="37"/>
      <c r="Q108" s="34"/>
      <c r="R108" s="34"/>
      <c r="S108" s="38" t="str">
        <f aca="false">IF(OR($Q108="",$R108="",$R108=0),"",$Q108/$R108)</f>
        <v/>
      </c>
      <c r="T108" s="18" t="str">
        <f aca="false">IF($S108="","",IF($S108&gt;=0.5,"PROCEDE BAJA","EVALUAR REPARACION"))</f>
        <v/>
      </c>
      <c r="U108" s="34"/>
      <c r="V108" s="33"/>
      <c r="W108" s="33"/>
      <c r="X108" s="33"/>
      <c r="Y108" s="33"/>
      <c r="Z108" s="33"/>
      <c r="AA108" s="33"/>
    </row>
    <row r="109" customFormat="false" ht="15" hidden="false" customHeight="false" outlineLevel="0" collapsed="false">
      <c r="A109" s="33"/>
      <c r="B109" s="33"/>
      <c r="C109" s="33"/>
      <c r="D109" s="33"/>
      <c r="E109" s="33"/>
      <c r="F109" s="33"/>
      <c r="G109" s="33"/>
      <c r="H109" s="33"/>
      <c r="I109" s="33"/>
      <c r="J109" s="34"/>
      <c r="K109" s="34"/>
      <c r="L109" s="35" t="str">
        <f aca="false">IF($J109="","",$J109-IF($K109="",0,$K109))</f>
        <v/>
      </c>
      <c r="M109" s="36"/>
      <c r="N109" s="33"/>
      <c r="O109" s="33"/>
      <c r="P109" s="37"/>
      <c r="Q109" s="34"/>
      <c r="R109" s="34"/>
      <c r="S109" s="38" t="str">
        <f aca="false">IF(OR($Q109="",$R109="",$R109=0),"",$Q109/$R109)</f>
        <v/>
      </c>
      <c r="T109" s="18" t="str">
        <f aca="false">IF($S109="","",IF($S109&gt;=0.5,"PROCEDE BAJA","EVALUAR REPARACION"))</f>
        <v/>
      </c>
      <c r="U109" s="34"/>
      <c r="V109" s="33"/>
      <c r="W109" s="33"/>
      <c r="X109" s="33"/>
      <c r="Y109" s="33"/>
      <c r="Z109" s="33"/>
      <c r="AA109" s="33"/>
    </row>
    <row r="110" customFormat="false" ht="15" hidden="false" customHeight="false" outlineLevel="0" collapsed="false">
      <c r="A110" s="33"/>
      <c r="B110" s="33"/>
      <c r="C110" s="33"/>
      <c r="D110" s="33"/>
      <c r="E110" s="33"/>
      <c r="F110" s="33"/>
      <c r="G110" s="33"/>
      <c r="H110" s="33"/>
      <c r="I110" s="33"/>
      <c r="J110" s="34"/>
      <c r="K110" s="34"/>
      <c r="L110" s="35" t="str">
        <f aca="false">IF($J110="","",$J110-IF($K110="",0,$K110))</f>
        <v/>
      </c>
      <c r="M110" s="36"/>
      <c r="N110" s="33"/>
      <c r="O110" s="33"/>
      <c r="P110" s="37"/>
      <c r="Q110" s="34"/>
      <c r="R110" s="34"/>
      <c r="S110" s="38" t="str">
        <f aca="false">IF(OR($Q110="",$R110="",$R110=0),"",$Q110/$R110)</f>
        <v/>
      </c>
      <c r="T110" s="18" t="str">
        <f aca="false">IF($S110="","",IF($S110&gt;=0.5,"PROCEDE BAJA","EVALUAR REPARACION"))</f>
        <v/>
      </c>
      <c r="U110" s="34"/>
      <c r="V110" s="33"/>
      <c r="W110" s="33"/>
      <c r="X110" s="33"/>
      <c r="Y110" s="33"/>
      <c r="Z110" s="33"/>
      <c r="AA110" s="33"/>
    </row>
    <row r="111" customFormat="false" ht="15" hidden="false" customHeight="false" outlineLevel="0" collapsed="false">
      <c r="A111" s="33"/>
      <c r="B111" s="33"/>
      <c r="C111" s="33"/>
      <c r="D111" s="33"/>
      <c r="E111" s="33"/>
      <c r="F111" s="33"/>
      <c r="G111" s="33"/>
      <c r="H111" s="33"/>
      <c r="I111" s="33"/>
      <c r="J111" s="34"/>
      <c r="K111" s="34"/>
      <c r="L111" s="35" t="str">
        <f aca="false">IF($J111="","",$J111-IF($K111="",0,$K111))</f>
        <v/>
      </c>
      <c r="M111" s="36"/>
      <c r="N111" s="33"/>
      <c r="O111" s="33"/>
      <c r="P111" s="37"/>
      <c r="Q111" s="34"/>
      <c r="R111" s="34"/>
      <c r="S111" s="38" t="str">
        <f aca="false">IF(OR($Q111="",$R111="",$R111=0),"",$Q111/$R111)</f>
        <v/>
      </c>
      <c r="T111" s="18" t="str">
        <f aca="false">IF($S111="","",IF($S111&gt;=0.5,"PROCEDE BAJA","EVALUAR REPARACION"))</f>
        <v/>
      </c>
      <c r="U111" s="34"/>
      <c r="V111" s="33"/>
      <c r="W111" s="33"/>
      <c r="X111" s="33"/>
      <c r="Y111" s="33"/>
      <c r="Z111" s="33"/>
      <c r="AA111" s="33"/>
    </row>
    <row r="112" customFormat="false" ht="15" hidden="false" customHeight="false" outlineLevel="0" collapsed="false">
      <c r="A112" s="33"/>
      <c r="B112" s="33"/>
      <c r="C112" s="33"/>
      <c r="D112" s="33"/>
      <c r="E112" s="33"/>
      <c r="F112" s="33"/>
      <c r="G112" s="33"/>
      <c r="H112" s="33"/>
      <c r="I112" s="33"/>
      <c r="J112" s="34"/>
      <c r="K112" s="34"/>
      <c r="L112" s="35" t="str">
        <f aca="false">IF($J112="","",$J112-IF($K112="",0,$K112))</f>
        <v/>
      </c>
      <c r="M112" s="36"/>
      <c r="N112" s="33"/>
      <c r="O112" s="33"/>
      <c r="P112" s="37"/>
      <c r="Q112" s="34"/>
      <c r="R112" s="34"/>
      <c r="S112" s="38" t="str">
        <f aca="false">IF(OR($Q112="",$R112="",$R112=0),"",$Q112/$R112)</f>
        <v/>
      </c>
      <c r="T112" s="18" t="str">
        <f aca="false">IF($S112="","",IF($S112&gt;=0.5,"PROCEDE BAJA","EVALUAR REPARACION"))</f>
        <v/>
      </c>
      <c r="U112" s="34"/>
      <c r="V112" s="33"/>
      <c r="W112" s="33"/>
      <c r="X112" s="33"/>
      <c r="Y112" s="33"/>
      <c r="Z112" s="33"/>
      <c r="AA112" s="33"/>
    </row>
    <row r="113" customFormat="false" ht="15" hidden="false" customHeight="false" outlineLevel="0" collapsed="false">
      <c r="A113" s="33"/>
      <c r="B113" s="33"/>
      <c r="C113" s="33"/>
      <c r="D113" s="33"/>
      <c r="E113" s="33"/>
      <c r="F113" s="33"/>
      <c r="G113" s="33"/>
      <c r="H113" s="33"/>
      <c r="I113" s="33"/>
      <c r="J113" s="34"/>
      <c r="K113" s="34"/>
      <c r="L113" s="35" t="str">
        <f aca="false">IF($J113="","",$J113-IF($K113="",0,$K113))</f>
        <v/>
      </c>
      <c r="M113" s="36"/>
      <c r="N113" s="33"/>
      <c r="O113" s="33"/>
      <c r="P113" s="37"/>
      <c r="Q113" s="34"/>
      <c r="R113" s="34"/>
      <c r="S113" s="38" t="str">
        <f aca="false">IF(OR($Q113="",$R113="",$R113=0),"",$Q113/$R113)</f>
        <v/>
      </c>
      <c r="T113" s="18" t="str">
        <f aca="false">IF($S113="","",IF($S113&gt;=0.5,"PROCEDE BAJA","EVALUAR REPARACION"))</f>
        <v/>
      </c>
      <c r="U113" s="34"/>
      <c r="V113" s="33"/>
      <c r="W113" s="33"/>
      <c r="X113" s="33"/>
      <c r="Y113" s="33"/>
      <c r="Z113" s="33"/>
      <c r="AA113" s="33"/>
    </row>
    <row r="114" customFormat="false" ht="15" hidden="false" customHeight="false" outlineLevel="0" collapsed="false">
      <c r="A114" s="33"/>
      <c r="B114" s="33"/>
      <c r="C114" s="33"/>
      <c r="D114" s="33"/>
      <c r="E114" s="33"/>
      <c r="F114" s="33"/>
      <c r="G114" s="33"/>
      <c r="H114" s="33"/>
      <c r="I114" s="33"/>
      <c r="J114" s="34"/>
      <c r="K114" s="34"/>
      <c r="L114" s="35" t="str">
        <f aca="false">IF($J114="","",$J114-IF($K114="",0,$K114))</f>
        <v/>
      </c>
      <c r="M114" s="36"/>
      <c r="N114" s="33"/>
      <c r="O114" s="33"/>
      <c r="P114" s="37"/>
      <c r="Q114" s="34"/>
      <c r="R114" s="34"/>
      <c r="S114" s="38" t="str">
        <f aca="false">IF(OR($Q114="",$R114="",$R114=0),"",$Q114/$R114)</f>
        <v/>
      </c>
      <c r="T114" s="18" t="str">
        <f aca="false">IF($S114="","",IF($S114&gt;=0.5,"PROCEDE BAJA","EVALUAR REPARACION"))</f>
        <v/>
      </c>
      <c r="U114" s="34"/>
      <c r="V114" s="33"/>
      <c r="W114" s="33"/>
      <c r="X114" s="33"/>
      <c r="Y114" s="33"/>
      <c r="Z114" s="33"/>
      <c r="AA114" s="33"/>
    </row>
    <row r="115" customFormat="false" ht="15" hidden="false" customHeight="false" outlineLevel="0" collapsed="false">
      <c r="A115" s="33"/>
      <c r="B115" s="33"/>
      <c r="C115" s="33"/>
      <c r="D115" s="33"/>
      <c r="E115" s="33"/>
      <c r="F115" s="33"/>
      <c r="G115" s="33"/>
      <c r="H115" s="33"/>
      <c r="I115" s="33"/>
      <c r="J115" s="34"/>
      <c r="K115" s="34"/>
      <c r="L115" s="35" t="str">
        <f aca="false">IF($J115="","",$J115-IF($K115="",0,$K115))</f>
        <v/>
      </c>
      <c r="M115" s="36"/>
      <c r="N115" s="33"/>
      <c r="O115" s="33"/>
      <c r="P115" s="37"/>
      <c r="Q115" s="34"/>
      <c r="R115" s="34"/>
      <c r="S115" s="38" t="str">
        <f aca="false">IF(OR($Q115="",$R115="",$R115=0),"",$Q115/$R115)</f>
        <v/>
      </c>
      <c r="T115" s="18" t="str">
        <f aca="false">IF($S115="","",IF($S115&gt;=0.5,"PROCEDE BAJA","EVALUAR REPARACION"))</f>
        <v/>
      </c>
      <c r="U115" s="34"/>
      <c r="V115" s="33"/>
      <c r="W115" s="33"/>
      <c r="X115" s="33"/>
      <c r="Y115" s="33"/>
      <c r="Z115" s="33"/>
      <c r="AA115" s="33"/>
    </row>
    <row r="116" customFormat="false" ht="15" hidden="false" customHeight="false" outlineLevel="0" collapsed="false">
      <c r="A116" s="33"/>
      <c r="B116" s="33"/>
      <c r="C116" s="33"/>
      <c r="D116" s="33"/>
      <c r="E116" s="33"/>
      <c r="F116" s="33"/>
      <c r="G116" s="33"/>
      <c r="H116" s="33"/>
      <c r="I116" s="33"/>
      <c r="J116" s="34"/>
      <c r="K116" s="34"/>
      <c r="L116" s="35" t="str">
        <f aca="false">IF($J116="","",$J116-IF($K116="",0,$K116))</f>
        <v/>
      </c>
      <c r="M116" s="36"/>
      <c r="N116" s="33"/>
      <c r="O116" s="33"/>
      <c r="P116" s="37"/>
      <c r="Q116" s="34"/>
      <c r="R116" s="34"/>
      <c r="S116" s="38" t="str">
        <f aca="false">IF(OR($Q116="",$R116="",$R116=0),"",$Q116/$R116)</f>
        <v/>
      </c>
      <c r="T116" s="18" t="str">
        <f aca="false">IF($S116="","",IF($S116&gt;=0.5,"PROCEDE BAJA","EVALUAR REPARACION"))</f>
        <v/>
      </c>
      <c r="U116" s="34"/>
      <c r="V116" s="33"/>
      <c r="W116" s="33"/>
      <c r="X116" s="33"/>
      <c r="Y116" s="33"/>
      <c r="Z116" s="33"/>
      <c r="AA116" s="33"/>
    </row>
    <row r="117" customFormat="false" ht="15" hidden="false" customHeight="false" outlineLevel="0" collapsed="false">
      <c r="A117" s="33"/>
      <c r="B117" s="33"/>
      <c r="C117" s="33"/>
      <c r="D117" s="33"/>
      <c r="E117" s="33"/>
      <c r="F117" s="33"/>
      <c r="G117" s="33"/>
      <c r="H117" s="33"/>
      <c r="I117" s="33"/>
      <c r="J117" s="34"/>
      <c r="K117" s="34"/>
      <c r="L117" s="35" t="str">
        <f aca="false">IF($J117="","",$J117-IF($K117="",0,$K117))</f>
        <v/>
      </c>
      <c r="M117" s="36"/>
      <c r="N117" s="33"/>
      <c r="O117" s="33"/>
      <c r="P117" s="37"/>
      <c r="Q117" s="34"/>
      <c r="R117" s="34"/>
      <c r="S117" s="38" t="str">
        <f aca="false">IF(OR($Q117="",$R117="",$R117=0),"",$Q117/$R117)</f>
        <v/>
      </c>
      <c r="T117" s="18" t="str">
        <f aca="false">IF($S117="","",IF($S117&gt;=0.5,"PROCEDE BAJA","EVALUAR REPARACION"))</f>
        <v/>
      </c>
      <c r="U117" s="34"/>
      <c r="V117" s="33"/>
      <c r="W117" s="33"/>
      <c r="X117" s="33"/>
      <c r="Y117" s="33"/>
      <c r="Z117" s="33"/>
      <c r="AA117" s="33"/>
    </row>
    <row r="118" customFormat="false" ht="15" hidden="false" customHeight="false" outlineLevel="0" collapsed="false">
      <c r="A118" s="33"/>
      <c r="B118" s="33"/>
      <c r="C118" s="33"/>
      <c r="D118" s="33"/>
      <c r="E118" s="33"/>
      <c r="F118" s="33"/>
      <c r="G118" s="33"/>
      <c r="H118" s="33"/>
      <c r="I118" s="33"/>
      <c r="J118" s="34"/>
      <c r="K118" s="34"/>
      <c r="L118" s="35" t="str">
        <f aca="false">IF($J118="","",$J118-IF($K118="",0,$K118))</f>
        <v/>
      </c>
      <c r="M118" s="36"/>
      <c r="N118" s="33"/>
      <c r="O118" s="33"/>
      <c r="P118" s="37"/>
      <c r="Q118" s="34"/>
      <c r="R118" s="34"/>
      <c r="S118" s="38" t="str">
        <f aca="false">IF(OR($Q118="",$R118="",$R118=0),"",$Q118/$R118)</f>
        <v/>
      </c>
      <c r="T118" s="18" t="str">
        <f aca="false">IF($S118="","",IF($S118&gt;=0.5,"PROCEDE BAJA","EVALUAR REPARACION"))</f>
        <v/>
      </c>
      <c r="U118" s="34"/>
      <c r="V118" s="33"/>
      <c r="W118" s="33"/>
      <c r="X118" s="33"/>
      <c r="Y118" s="33"/>
      <c r="Z118" s="33"/>
      <c r="AA118" s="33"/>
    </row>
    <row r="119" customFormat="false" ht="15" hidden="false" customHeight="false" outlineLevel="0" collapsed="false">
      <c r="A119" s="33"/>
      <c r="B119" s="33"/>
      <c r="C119" s="33"/>
      <c r="D119" s="33"/>
      <c r="E119" s="33"/>
      <c r="F119" s="33"/>
      <c r="G119" s="33"/>
      <c r="H119" s="33"/>
      <c r="I119" s="33"/>
      <c r="J119" s="34"/>
      <c r="K119" s="34"/>
      <c r="L119" s="35" t="str">
        <f aca="false">IF($J119="","",$J119-IF($K119="",0,$K119))</f>
        <v/>
      </c>
      <c r="M119" s="36"/>
      <c r="N119" s="33"/>
      <c r="O119" s="33"/>
      <c r="P119" s="37"/>
      <c r="Q119" s="34"/>
      <c r="R119" s="34"/>
      <c r="S119" s="38" t="str">
        <f aca="false">IF(OR($Q119="",$R119="",$R119=0),"",$Q119/$R119)</f>
        <v/>
      </c>
      <c r="T119" s="18" t="str">
        <f aca="false">IF($S119="","",IF($S119&gt;=0.5,"PROCEDE BAJA","EVALUAR REPARACION"))</f>
        <v/>
      </c>
      <c r="U119" s="34"/>
      <c r="V119" s="33"/>
      <c r="W119" s="33"/>
      <c r="X119" s="33"/>
      <c r="Y119" s="33"/>
      <c r="Z119" s="33"/>
      <c r="AA119" s="33"/>
    </row>
    <row r="120" customFormat="false" ht="15" hidden="false" customHeight="false" outlineLevel="0" collapsed="false">
      <c r="A120" s="33"/>
      <c r="B120" s="33"/>
      <c r="C120" s="33"/>
      <c r="D120" s="33"/>
      <c r="E120" s="33"/>
      <c r="F120" s="33"/>
      <c r="G120" s="33"/>
      <c r="H120" s="33"/>
      <c r="I120" s="33"/>
      <c r="J120" s="34"/>
      <c r="K120" s="34"/>
      <c r="L120" s="35" t="str">
        <f aca="false">IF($J120="","",$J120-IF($K120="",0,$K120))</f>
        <v/>
      </c>
      <c r="M120" s="36"/>
      <c r="N120" s="33"/>
      <c r="O120" s="33"/>
      <c r="P120" s="37"/>
      <c r="Q120" s="34"/>
      <c r="R120" s="34"/>
      <c r="S120" s="38" t="str">
        <f aca="false">IF(OR($Q120="",$R120="",$R120=0),"",$Q120/$R120)</f>
        <v/>
      </c>
      <c r="T120" s="18" t="str">
        <f aca="false">IF($S120="","",IF($S120&gt;=0.5,"PROCEDE BAJA","EVALUAR REPARACION"))</f>
        <v/>
      </c>
      <c r="U120" s="34"/>
      <c r="V120" s="33"/>
      <c r="W120" s="33"/>
      <c r="X120" s="33"/>
      <c r="Y120" s="33"/>
      <c r="Z120" s="33"/>
      <c r="AA120" s="33"/>
    </row>
    <row r="121" customFormat="false" ht="15" hidden="false" customHeight="false" outlineLevel="0" collapsed="false">
      <c r="A121" s="33"/>
      <c r="B121" s="33"/>
      <c r="C121" s="33"/>
      <c r="D121" s="33"/>
      <c r="E121" s="33"/>
      <c r="F121" s="33"/>
      <c r="G121" s="33"/>
      <c r="H121" s="33"/>
      <c r="I121" s="33"/>
      <c r="J121" s="34"/>
      <c r="K121" s="34"/>
      <c r="L121" s="35" t="str">
        <f aca="false">IF($J121="","",$J121-IF($K121="",0,$K121))</f>
        <v/>
      </c>
      <c r="M121" s="36"/>
      <c r="N121" s="33"/>
      <c r="O121" s="33"/>
      <c r="P121" s="37"/>
      <c r="Q121" s="34"/>
      <c r="R121" s="34"/>
      <c r="S121" s="38" t="str">
        <f aca="false">IF(OR($Q121="",$R121="",$R121=0),"",$Q121/$R121)</f>
        <v/>
      </c>
      <c r="T121" s="18" t="str">
        <f aca="false">IF($S121="","",IF($S121&gt;=0.5,"PROCEDE BAJA","EVALUAR REPARACION"))</f>
        <v/>
      </c>
      <c r="U121" s="34"/>
      <c r="V121" s="33"/>
      <c r="W121" s="33"/>
      <c r="X121" s="33"/>
      <c r="Y121" s="33"/>
      <c r="Z121" s="33"/>
      <c r="AA121" s="33"/>
    </row>
    <row r="122" customFormat="false" ht="15" hidden="false" customHeight="false" outlineLevel="0" collapsed="false">
      <c r="A122" s="33"/>
      <c r="B122" s="33"/>
      <c r="C122" s="33"/>
      <c r="D122" s="33"/>
      <c r="E122" s="33"/>
      <c r="F122" s="33"/>
      <c r="G122" s="33"/>
      <c r="H122" s="33"/>
      <c r="I122" s="33"/>
      <c r="J122" s="34"/>
      <c r="K122" s="34"/>
      <c r="L122" s="35" t="str">
        <f aca="false">IF($J122="","",$J122-IF($K122="",0,$K122))</f>
        <v/>
      </c>
      <c r="M122" s="36"/>
      <c r="N122" s="33"/>
      <c r="O122" s="33"/>
      <c r="P122" s="37"/>
      <c r="Q122" s="34"/>
      <c r="R122" s="34"/>
      <c r="S122" s="38" t="str">
        <f aca="false">IF(OR($Q122="",$R122="",$R122=0),"",$Q122/$R122)</f>
        <v/>
      </c>
      <c r="T122" s="18" t="str">
        <f aca="false">IF($S122="","",IF($S122&gt;=0.5,"PROCEDE BAJA","EVALUAR REPARACION"))</f>
        <v/>
      </c>
      <c r="U122" s="34"/>
      <c r="V122" s="33"/>
      <c r="W122" s="33"/>
      <c r="X122" s="33"/>
      <c r="Y122" s="33"/>
      <c r="Z122" s="33"/>
      <c r="AA122" s="33"/>
    </row>
    <row r="123" customFormat="false" ht="15" hidden="false" customHeight="false" outlineLevel="0" collapsed="false">
      <c r="A123" s="33"/>
      <c r="B123" s="33"/>
      <c r="C123" s="33"/>
      <c r="D123" s="33"/>
      <c r="E123" s="33"/>
      <c r="F123" s="33"/>
      <c r="G123" s="33"/>
      <c r="H123" s="33"/>
      <c r="I123" s="33"/>
      <c r="J123" s="34"/>
      <c r="K123" s="34"/>
      <c r="L123" s="35" t="str">
        <f aca="false">IF($J123="","",$J123-IF($K123="",0,$K123))</f>
        <v/>
      </c>
      <c r="M123" s="36"/>
      <c r="N123" s="33"/>
      <c r="O123" s="33"/>
      <c r="P123" s="37"/>
      <c r="Q123" s="34"/>
      <c r="R123" s="34"/>
      <c r="S123" s="38" t="str">
        <f aca="false">IF(OR($Q123="",$R123="",$R123=0),"",$Q123/$R123)</f>
        <v/>
      </c>
      <c r="T123" s="18" t="str">
        <f aca="false">IF($S123="","",IF($S123&gt;=0.5,"PROCEDE BAJA","EVALUAR REPARACION"))</f>
        <v/>
      </c>
      <c r="U123" s="34"/>
      <c r="V123" s="33"/>
      <c r="W123" s="33"/>
      <c r="X123" s="33"/>
      <c r="Y123" s="33"/>
      <c r="Z123" s="33"/>
      <c r="AA123" s="33"/>
    </row>
    <row r="124" customFormat="false" ht="15" hidden="false" customHeight="false" outlineLevel="0" collapsed="false">
      <c r="A124" s="33"/>
      <c r="B124" s="33"/>
      <c r="C124" s="33"/>
      <c r="D124" s="33"/>
      <c r="E124" s="33"/>
      <c r="F124" s="33"/>
      <c r="G124" s="33"/>
      <c r="H124" s="33"/>
      <c r="I124" s="33"/>
      <c r="J124" s="34"/>
      <c r="K124" s="34"/>
      <c r="L124" s="35" t="str">
        <f aca="false">IF($J124="","",$J124-IF($K124="",0,$K124))</f>
        <v/>
      </c>
      <c r="M124" s="36"/>
      <c r="N124" s="33"/>
      <c r="O124" s="33"/>
      <c r="P124" s="37"/>
      <c r="Q124" s="34"/>
      <c r="R124" s="34"/>
      <c r="S124" s="38" t="str">
        <f aca="false">IF(OR($Q124="",$R124="",$R124=0),"",$Q124/$R124)</f>
        <v/>
      </c>
      <c r="T124" s="18" t="str">
        <f aca="false">IF($S124="","",IF($S124&gt;=0.5,"PROCEDE BAJA","EVALUAR REPARACION"))</f>
        <v/>
      </c>
      <c r="U124" s="34"/>
      <c r="V124" s="33"/>
      <c r="W124" s="33"/>
      <c r="X124" s="33"/>
      <c r="Y124" s="33"/>
      <c r="Z124" s="33"/>
      <c r="AA124" s="33"/>
    </row>
    <row r="125" customFormat="false" ht="15" hidden="false" customHeight="false" outlineLevel="0" collapsed="false">
      <c r="A125" s="33"/>
      <c r="B125" s="33"/>
      <c r="C125" s="33"/>
      <c r="D125" s="33"/>
      <c r="E125" s="33"/>
      <c r="F125" s="33"/>
      <c r="G125" s="33"/>
      <c r="H125" s="33"/>
      <c r="I125" s="33"/>
      <c r="J125" s="34"/>
      <c r="K125" s="34"/>
      <c r="L125" s="35" t="str">
        <f aca="false">IF($J125="","",$J125-IF($K125="",0,$K125))</f>
        <v/>
      </c>
      <c r="M125" s="36"/>
      <c r="N125" s="33"/>
      <c r="O125" s="33"/>
      <c r="P125" s="37"/>
      <c r="Q125" s="34"/>
      <c r="R125" s="34"/>
      <c r="S125" s="38" t="str">
        <f aca="false">IF(OR($Q125="",$R125="",$R125=0),"",$Q125/$R125)</f>
        <v/>
      </c>
      <c r="T125" s="18" t="str">
        <f aca="false">IF($S125="","",IF($S125&gt;=0.5,"PROCEDE BAJA","EVALUAR REPARACION"))</f>
        <v/>
      </c>
      <c r="U125" s="34"/>
      <c r="V125" s="33"/>
      <c r="W125" s="33"/>
      <c r="X125" s="33"/>
      <c r="Y125" s="33"/>
      <c r="Z125" s="33"/>
      <c r="AA125" s="33"/>
    </row>
    <row r="126" customFormat="false" ht="15" hidden="false" customHeight="false" outlineLevel="0" collapsed="false">
      <c r="A126" s="33"/>
      <c r="B126" s="33"/>
      <c r="C126" s="33"/>
      <c r="D126" s="33"/>
      <c r="E126" s="33"/>
      <c r="F126" s="33"/>
      <c r="G126" s="33"/>
      <c r="H126" s="33"/>
      <c r="I126" s="33"/>
      <c r="J126" s="34"/>
      <c r="K126" s="34"/>
      <c r="L126" s="35" t="str">
        <f aca="false">IF($J126="","",$J126-IF($K126="",0,$K126))</f>
        <v/>
      </c>
      <c r="M126" s="36"/>
      <c r="N126" s="33"/>
      <c r="O126" s="33"/>
      <c r="P126" s="37"/>
      <c r="Q126" s="34"/>
      <c r="R126" s="34"/>
      <c r="S126" s="38" t="str">
        <f aca="false">IF(OR($Q126="",$R126="",$R126=0),"",$Q126/$R126)</f>
        <v/>
      </c>
      <c r="T126" s="18" t="str">
        <f aca="false">IF($S126="","",IF($S126&gt;=0.5,"PROCEDE BAJA","EVALUAR REPARACION"))</f>
        <v/>
      </c>
      <c r="U126" s="34"/>
      <c r="V126" s="33"/>
      <c r="W126" s="33"/>
      <c r="X126" s="33"/>
      <c r="Y126" s="33"/>
      <c r="Z126" s="33"/>
      <c r="AA126" s="33"/>
    </row>
    <row r="127" customFormat="false" ht="15" hidden="false" customHeight="false" outlineLevel="0" collapsed="false">
      <c r="A127" s="33"/>
      <c r="B127" s="33"/>
      <c r="C127" s="33"/>
      <c r="D127" s="33"/>
      <c r="E127" s="33"/>
      <c r="F127" s="33"/>
      <c r="G127" s="33"/>
      <c r="H127" s="33"/>
      <c r="I127" s="33"/>
      <c r="J127" s="34"/>
      <c r="K127" s="34"/>
      <c r="L127" s="35" t="str">
        <f aca="false">IF($J127="","",$J127-IF($K127="",0,$K127))</f>
        <v/>
      </c>
      <c r="M127" s="36"/>
      <c r="N127" s="33"/>
      <c r="O127" s="33"/>
      <c r="P127" s="37"/>
      <c r="Q127" s="34"/>
      <c r="R127" s="34"/>
      <c r="S127" s="38" t="str">
        <f aca="false">IF(OR($Q127="",$R127="",$R127=0),"",$Q127/$R127)</f>
        <v/>
      </c>
      <c r="T127" s="18" t="str">
        <f aca="false">IF($S127="","",IF($S127&gt;=0.5,"PROCEDE BAJA","EVALUAR REPARACION"))</f>
        <v/>
      </c>
      <c r="U127" s="34"/>
      <c r="V127" s="33"/>
      <c r="W127" s="33"/>
      <c r="X127" s="33"/>
      <c r="Y127" s="33"/>
      <c r="Z127" s="33"/>
      <c r="AA127" s="33"/>
    </row>
    <row r="128" customFormat="false" ht="15" hidden="false" customHeight="false" outlineLevel="0" collapsed="false">
      <c r="A128" s="33"/>
      <c r="B128" s="33"/>
      <c r="C128" s="33"/>
      <c r="D128" s="33"/>
      <c r="E128" s="33"/>
      <c r="F128" s="33"/>
      <c r="G128" s="33"/>
      <c r="H128" s="33"/>
      <c r="I128" s="33"/>
      <c r="J128" s="34"/>
      <c r="K128" s="34"/>
      <c r="L128" s="35" t="str">
        <f aca="false">IF($J128="","",$J128-IF($K128="",0,$K128))</f>
        <v/>
      </c>
      <c r="M128" s="36"/>
      <c r="N128" s="33"/>
      <c r="O128" s="33"/>
      <c r="P128" s="37"/>
      <c r="Q128" s="34"/>
      <c r="R128" s="34"/>
      <c r="S128" s="38" t="str">
        <f aca="false">IF(OR($Q128="",$R128="",$R128=0),"",$Q128/$R128)</f>
        <v/>
      </c>
      <c r="T128" s="18" t="str">
        <f aca="false">IF($S128="","",IF($S128&gt;=0.5,"PROCEDE BAJA","EVALUAR REPARACION"))</f>
        <v/>
      </c>
      <c r="U128" s="34"/>
      <c r="V128" s="33"/>
      <c r="W128" s="33"/>
      <c r="X128" s="33"/>
      <c r="Y128" s="33"/>
      <c r="Z128" s="33"/>
      <c r="AA128" s="33"/>
    </row>
    <row r="129" customFormat="false" ht="15" hidden="false" customHeight="false" outlineLevel="0" collapsed="false">
      <c r="A129" s="33"/>
      <c r="B129" s="33"/>
      <c r="C129" s="33"/>
      <c r="D129" s="33"/>
      <c r="E129" s="33"/>
      <c r="F129" s="33"/>
      <c r="G129" s="33"/>
      <c r="H129" s="33"/>
      <c r="I129" s="33"/>
      <c r="J129" s="34"/>
      <c r="K129" s="34"/>
      <c r="L129" s="35" t="str">
        <f aca="false">IF($J129="","",$J129-IF($K129="",0,$K129))</f>
        <v/>
      </c>
      <c r="M129" s="36"/>
      <c r="N129" s="33"/>
      <c r="O129" s="33"/>
      <c r="P129" s="37"/>
      <c r="Q129" s="34"/>
      <c r="R129" s="34"/>
      <c r="S129" s="38" t="str">
        <f aca="false">IF(OR($Q129="",$R129="",$R129=0),"",$Q129/$R129)</f>
        <v/>
      </c>
      <c r="T129" s="18" t="str">
        <f aca="false">IF($S129="","",IF($S129&gt;=0.5,"PROCEDE BAJA","EVALUAR REPARACION"))</f>
        <v/>
      </c>
      <c r="U129" s="34"/>
      <c r="V129" s="33"/>
      <c r="W129" s="33"/>
      <c r="X129" s="33"/>
      <c r="Y129" s="33"/>
      <c r="Z129" s="33"/>
      <c r="AA129" s="33"/>
    </row>
    <row r="130" customFormat="false" ht="15" hidden="false" customHeight="false" outlineLevel="0" collapsed="false">
      <c r="A130" s="33"/>
      <c r="B130" s="33"/>
      <c r="C130" s="33"/>
      <c r="D130" s="33"/>
      <c r="E130" s="33"/>
      <c r="F130" s="33"/>
      <c r="G130" s="33"/>
      <c r="H130" s="33"/>
      <c r="I130" s="33"/>
      <c r="J130" s="34"/>
      <c r="K130" s="34"/>
      <c r="L130" s="35" t="str">
        <f aca="false">IF($J130="","",$J130-IF($K130="",0,$K130))</f>
        <v/>
      </c>
      <c r="M130" s="36"/>
      <c r="N130" s="33"/>
      <c r="O130" s="33"/>
      <c r="P130" s="37"/>
      <c r="Q130" s="34"/>
      <c r="R130" s="34"/>
      <c r="S130" s="38" t="str">
        <f aca="false">IF(OR($Q130="",$R130="",$R130=0),"",$Q130/$R130)</f>
        <v/>
      </c>
      <c r="T130" s="18" t="str">
        <f aca="false">IF($S130="","",IF($S130&gt;=0.5,"PROCEDE BAJA","EVALUAR REPARACION"))</f>
        <v/>
      </c>
      <c r="U130" s="34"/>
      <c r="V130" s="33"/>
      <c r="W130" s="33"/>
      <c r="X130" s="33"/>
      <c r="Y130" s="33"/>
      <c r="Z130" s="33"/>
      <c r="AA130" s="33"/>
    </row>
    <row r="131" customFormat="false" ht="15" hidden="false" customHeight="false" outlineLevel="0" collapsed="false">
      <c r="A131" s="33"/>
      <c r="B131" s="33"/>
      <c r="C131" s="33"/>
      <c r="D131" s="33"/>
      <c r="E131" s="33"/>
      <c r="F131" s="33"/>
      <c r="G131" s="33"/>
      <c r="H131" s="33"/>
      <c r="I131" s="33"/>
      <c r="J131" s="34"/>
      <c r="K131" s="34"/>
      <c r="L131" s="35" t="str">
        <f aca="false">IF($J131="","",$J131-IF($K131="",0,$K131))</f>
        <v/>
      </c>
      <c r="M131" s="36"/>
      <c r="N131" s="33"/>
      <c r="O131" s="33"/>
      <c r="P131" s="37"/>
      <c r="Q131" s="34"/>
      <c r="R131" s="34"/>
      <c r="S131" s="38" t="str">
        <f aca="false">IF(OR($Q131="",$R131="",$R131=0),"",$Q131/$R131)</f>
        <v/>
      </c>
      <c r="T131" s="18" t="str">
        <f aca="false">IF($S131="","",IF($S131&gt;=0.5,"PROCEDE BAJA","EVALUAR REPARACION"))</f>
        <v/>
      </c>
      <c r="U131" s="34"/>
      <c r="V131" s="33"/>
      <c r="W131" s="33"/>
      <c r="X131" s="33"/>
      <c r="Y131" s="33"/>
      <c r="Z131" s="33"/>
      <c r="AA131" s="33"/>
    </row>
    <row r="132" customFormat="false" ht="15" hidden="false" customHeight="false" outlineLevel="0" collapsed="false">
      <c r="A132" s="33"/>
      <c r="B132" s="33"/>
      <c r="C132" s="33"/>
      <c r="D132" s="33"/>
      <c r="E132" s="33"/>
      <c r="F132" s="33"/>
      <c r="G132" s="33"/>
      <c r="H132" s="33"/>
      <c r="I132" s="33"/>
      <c r="J132" s="34"/>
      <c r="K132" s="34"/>
      <c r="L132" s="35" t="str">
        <f aca="false">IF($J132="","",$J132-IF($K132="",0,$K132))</f>
        <v/>
      </c>
      <c r="M132" s="36"/>
      <c r="N132" s="33"/>
      <c r="O132" s="33"/>
      <c r="P132" s="37"/>
      <c r="Q132" s="34"/>
      <c r="R132" s="34"/>
      <c r="S132" s="38" t="str">
        <f aca="false">IF(OR($Q132="",$R132="",$R132=0),"",$Q132/$R132)</f>
        <v/>
      </c>
      <c r="T132" s="18" t="str">
        <f aca="false">IF($S132="","",IF($S132&gt;=0.5,"PROCEDE BAJA","EVALUAR REPARACION"))</f>
        <v/>
      </c>
      <c r="U132" s="34"/>
      <c r="V132" s="33"/>
      <c r="W132" s="33"/>
      <c r="X132" s="33"/>
      <c r="Y132" s="33"/>
      <c r="Z132" s="33"/>
      <c r="AA132" s="33"/>
    </row>
    <row r="133" customFormat="false" ht="15" hidden="false" customHeight="false" outlineLevel="0" collapsed="false">
      <c r="A133" s="33"/>
      <c r="B133" s="33"/>
      <c r="C133" s="33"/>
      <c r="D133" s="33"/>
      <c r="E133" s="33"/>
      <c r="F133" s="33"/>
      <c r="G133" s="33"/>
      <c r="H133" s="33"/>
      <c r="I133" s="33"/>
      <c r="J133" s="34"/>
      <c r="K133" s="34"/>
      <c r="L133" s="35" t="str">
        <f aca="false">IF($J133="","",$J133-IF($K133="",0,$K133))</f>
        <v/>
      </c>
      <c r="M133" s="36"/>
      <c r="N133" s="33"/>
      <c r="O133" s="33"/>
      <c r="P133" s="37"/>
      <c r="Q133" s="34"/>
      <c r="R133" s="34"/>
      <c r="S133" s="38" t="str">
        <f aca="false">IF(OR($Q133="",$R133="",$R133=0),"",$Q133/$R133)</f>
        <v/>
      </c>
      <c r="T133" s="18" t="str">
        <f aca="false">IF($S133="","",IF($S133&gt;=0.5,"PROCEDE BAJA","EVALUAR REPARACION"))</f>
        <v/>
      </c>
      <c r="U133" s="34"/>
      <c r="V133" s="33"/>
      <c r="W133" s="33"/>
      <c r="X133" s="33"/>
      <c r="Y133" s="33"/>
      <c r="Z133" s="33"/>
      <c r="AA133" s="33"/>
    </row>
    <row r="134" customFormat="false" ht="15" hidden="false" customHeight="false" outlineLevel="0" collapsed="false">
      <c r="A134" s="33"/>
      <c r="B134" s="33"/>
      <c r="C134" s="33"/>
      <c r="D134" s="33"/>
      <c r="E134" s="33"/>
      <c r="F134" s="33"/>
      <c r="G134" s="33"/>
      <c r="H134" s="33"/>
      <c r="I134" s="33"/>
      <c r="J134" s="34"/>
      <c r="K134" s="34"/>
      <c r="L134" s="35" t="str">
        <f aca="false">IF($J134="","",$J134-IF($K134="",0,$K134))</f>
        <v/>
      </c>
      <c r="M134" s="36"/>
      <c r="N134" s="33"/>
      <c r="O134" s="33"/>
      <c r="P134" s="37"/>
      <c r="Q134" s="34"/>
      <c r="R134" s="34"/>
      <c r="S134" s="38" t="str">
        <f aca="false">IF(OR($Q134="",$R134="",$R134=0),"",$Q134/$R134)</f>
        <v/>
      </c>
      <c r="T134" s="18" t="str">
        <f aca="false">IF($S134="","",IF($S134&gt;=0.5,"PROCEDE BAJA","EVALUAR REPARACION"))</f>
        <v/>
      </c>
      <c r="U134" s="34"/>
      <c r="V134" s="33"/>
      <c r="W134" s="33"/>
      <c r="X134" s="33"/>
      <c r="Y134" s="33"/>
      <c r="Z134" s="33"/>
      <c r="AA134" s="33"/>
    </row>
    <row r="135" customFormat="false" ht="15" hidden="false" customHeight="false" outlineLevel="0" collapsed="false">
      <c r="A135" s="33"/>
      <c r="B135" s="33"/>
      <c r="C135" s="33"/>
      <c r="D135" s="33"/>
      <c r="E135" s="33"/>
      <c r="F135" s="33"/>
      <c r="G135" s="33"/>
      <c r="H135" s="33"/>
      <c r="I135" s="33"/>
      <c r="J135" s="34"/>
      <c r="K135" s="34"/>
      <c r="L135" s="35" t="str">
        <f aca="false">IF($J135="","",$J135-IF($K135="",0,$K135))</f>
        <v/>
      </c>
      <c r="M135" s="36"/>
      <c r="N135" s="33"/>
      <c r="O135" s="33"/>
      <c r="P135" s="37"/>
      <c r="Q135" s="34"/>
      <c r="R135" s="34"/>
      <c r="S135" s="38" t="str">
        <f aca="false">IF(OR($Q135="",$R135="",$R135=0),"",$Q135/$R135)</f>
        <v/>
      </c>
      <c r="T135" s="18" t="str">
        <f aca="false">IF($S135="","",IF($S135&gt;=0.5,"PROCEDE BAJA","EVALUAR REPARACION"))</f>
        <v/>
      </c>
      <c r="U135" s="34"/>
      <c r="V135" s="33"/>
      <c r="W135" s="33"/>
      <c r="X135" s="33"/>
      <c r="Y135" s="33"/>
      <c r="Z135" s="33"/>
      <c r="AA135" s="33"/>
    </row>
    <row r="136" customFormat="false" ht="15" hidden="false" customHeight="false" outlineLevel="0" collapsed="false">
      <c r="A136" s="33"/>
      <c r="B136" s="33"/>
      <c r="C136" s="33"/>
      <c r="D136" s="33"/>
      <c r="E136" s="33"/>
      <c r="F136" s="33"/>
      <c r="G136" s="33"/>
      <c r="H136" s="33"/>
      <c r="I136" s="33"/>
      <c r="J136" s="34"/>
      <c r="K136" s="34"/>
      <c r="L136" s="35" t="str">
        <f aca="false">IF($J136="","",$J136-IF($K136="",0,$K136))</f>
        <v/>
      </c>
      <c r="M136" s="36"/>
      <c r="N136" s="33"/>
      <c r="O136" s="33"/>
      <c r="P136" s="37"/>
      <c r="Q136" s="34"/>
      <c r="R136" s="34"/>
      <c r="S136" s="38" t="str">
        <f aca="false">IF(OR($Q136="",$R136="",$R136=0),"",$Q136/$R136)</f>
        <v/>
      </c>
      <c r="T136" s="18" t="str">
        <f aca="false">IF($S136="","",IF($S136&gt;=0.5,"PROCEDE BAJA","EVALUAR REPARACION"))</f>
        <v/>
      </c>
      <c r="U136" s="34"/>
      <c r="V136" s="33"/>
      <c r="W136" s="33"/>
      <c r="X136" s="33"/>
      <c r="Y136" s="33"/>
      <c r="Z136" s="33"/>
      <c r="AA136" s="33"/>
    </row>
    <row r="137" customFormat="false" ht="15" hidden="false" customHeight="false" outlineLevel="0" collapsed="false">
      <c r="A137" s="33"/>
      <c r="B137" s="33"/>
      <c r="C137" s="33"/>
      <c r="D137" s="33"/>
      <c r="E137" s="33"/>
      <c r="F137" s="33"/>
      <c r="G137" s="33"/>
      <c r="H137" s="33"/>
      <c r="I137" s="33"/>
      <c r="J137" s="34"/>
      <c r="K137" s="34"/>
      <c r="L137" s="35" t="str">
        <f aca="false">IF($J137="","",$J137-IF($K137="",0,$K137))</f>
        <v/>
      </c>
      <c r="M137" s="36"/>
      <c r="N137" s="33"/>
      <c r="O137" s="33"/>
      <c r="P137" s="37"/>
      <c r="Q137" s="34"/>
      <c r="R137" s="34"/>
      <c r="S137" s="38" t="str">
        <f aca="false">IF(OR($Q137="",$R137="",$R137=0),"",$Q137/$R137)</f>
        <v/>
      </c>
      <c r="T137" s="18" t="str">
        <f aca="false">IF($S137="","",IF($S137&gt;=0.5,"PROCEDE BAJA","EVALUAR REPARACION"))</f>
        <v/>
      </c>
      <c r="U137" s="34"/>
      <c r="V137" s="33"/>
      <c r="W137" s="33"/>
      <c r="X137" s="33"/>
      <c r="Y137" s="33"/>
      <c r="Z137" s="33"/>
      <c r="AA137" s="33"/>
    </row>
    <row r="138" customFormat="false" ht="15" hidden="false" customHeight="false" outlineLevel="0" collapsed="false">
      <c r="A138" s="33"/>
      <c r="B138" s="33"/>
      <c r="C138" s="33"/>
      <c r="D138" s="33"/>
      <c r="E138" s="33"/>
      <c r="F138" s="33"/>
      <c r="G138" s="33"/>
      <c r="H138" s="33"/>
      <c r="I138" s="33"/>
      <c r="J138" s="34"/>
      <c r="K138" s="34"/>
      <c r="L138" s="35" t="str">
        <f aca="false">IF($J138="","",$J138-IF($K138="",0,$K138))</f>
        <v/>
      </c>
      <c r="M138" s="36"/>
      <c r="N138" s="33"/>
      <c r="O138" s="33"/>
      <c r="P138" s="37"/>
      <c r="Q138" s="34"/>
      <c r="R138" s="34"/>
      <c r="S138" s="38" t="str">
        <f aca="false">IF(OR($Q138="",$R138="",$R138=0),"",$Q138/$R138)</f>
        <v/>
      </c>
      <c r="T138" s="18" t="str">
        <f aca="false">IF($S138="","",IF($S138&gt;=0.5,"PROCEDE BAJA","EVALUAR REPARACION"))</f>
        <v/>
      </c>
      <c r="U138" s="34"/>
      <c r="V138" s="33"/>
      <c r="W138" s="33"/>
      <c r="X138" s="33"/>
      <c r="Y138" s="33"/>
      <c r="Z138" s="33"/>
      <c r="AA138" s="33"/>
    </row>
    <row r="139" customFormat="false" ht="15" hidden="false" customHeight="false" outlineLevel="0" collapsed="false">
      <c r="A139" s="33"/>
      <c r="B139" s="33"/>
      <c r="C139" s="33"/>
      <c r="D139" s="33"/>
      <c r="E139" s="33"/>
      <c r="F139" s="33"/>
      <c r="G139" s="33"/>
      <c r="H139" s="33"/>
      <c r="I139" s="33"/>
      <c r="J139" s="34"/>
      <c r="K139" s="34"/>
      <c r="L139" s="35" t="str">
        <f aca="false">IF($J139="","",$J139-IF($K139="",0,$K139))</f>
        <v/>
      </c>
      <c r="M139" s="36"/>
      <c r="N139" s="33"/>
      <c r="O139" s="33"/>
      <c r="P139" s="37"/>
      <c r="Q139" s="34"/>
      <c r="R139" s="34"/>
      <c r="S139" s="38" t="str">
        <f aca="false">IF(OR($Q139="",$R139="",$R139=0),"",$Q139/$R139)</f>
        <v/>
      </c>
      <c r="T139" s="18" t="str">
        <f aca="false">IF($S139="","",IF($S139&gt;=0.5,"PROCEDE BAJA","EVALUAR REPARACION"))</f>
        <v/>
      </c>
      <c r="U139" s="34"/>
      <c r="V139" s="33"/>
      <c r="W139" s="33"/>
      <c r="X139" s="33"/>
      <c r="Y139" s="33"/>
      <c r="Z139" s="33"/>
      <c r="AA139" s="33"/>
    </row>
    <row r="140" customFormat="false" ht="15" hidden="false" customHeight="false" outlineLevel="0" collapsed="false">
      <c r="A140" s="33"/>
      <c r="B140" s="33"/>
      <c r="C140" s="33"/>
      <c r="D140" s="33"/>
      <c r="E140" s="33"/>
      <c r="F140" s="33"/>
      <c r="G140" s="33"/>
      <c r="H140" s="33"/>
      <c r="I140" s="33"/>
      <c r="J140" s="34"/>
      <c r="K140" s="34"/>
      <c r="L140" s="35" t="str">
        <f aca="false">IF($J140="","",$J140-IF($K140="",0,$K140))</f>
        <v/>
      </c>
      <c r="M140" s="36"/>
      <c r="N140" s="33"/>
      <c r="O140" s="33"/>
      <c r="P140" s="37"/>
      <c r="Q140" s="34"/>
      <c r="R140" s="34"/>
      <c r="S140" s="38" t="str">
        <f aca="false">IF(OR($Q140="",$R140="",$R140=0),"",$Q140/$R140)</f>
        <v/>
      </c>
      <c r="T140" s="18" t="str">
        <f aca="false">IF($S140="","",IF($S140&gt;=0.5,"PROCEDE BAJA","EVALUAR REPARACION"))</f>
        <v/>
      </c>
      <c r="U140" s="34"/>
      <c r="V140" s="33"/>
      <c r="W140" s="33"/>
      <c r="X140" s="33"/>
      <c r="Y140" s="33"/>
      <c r="Z140" s="33"/>
      <c r="AA140" s="33"/>
    </row>
    <row r="141" customFormat="false" ht="15" hidden="false" customHeight="false" outlineLevel="0" collapsed="false">
      <c r="A141" s="33"/>
      <c r="B141" s="33"/>
      <c r="C141" s="33"/>
      <c r="D141" s="33"/>
      <c r="E141" s="33"/>
      <c r="F141" s="33"/>
      <c r="G141" s="33"/>
      <c r="H141" s="33"/>
      <c r="I141" s="33"/>
      <c r="J141" s="34"/>
      <c r="K141" s="34"/>
      <c r="L141" s="35" t="str">
        <f aca="false">IF($J141="","",$J141-IF($K141="",0,$K141))</f>
        <v/>
      </c>
      <c r="M141" s="36"/>
      <c r="N141" s="33"/>
      <c r="O141" s="33"/>
      <c r="P141" s="37"/>
      <c r="Q141" s="34"/>
      <c r="R141" s="34"/>
      <c r="S141" s="38" t="str">
        <f aca="false">IF(OR($Q141="",$R141="",$R141=0),"",$Q141/$R141)</f>
        <v/>
      </c>
      <c r="T141" s="18" t="str">
        <f aca="false">IF($S141="","",IF($S141&gt;=0.5,"PROCEDE BAJA","EVALUAR REPARACION"))</f>
        <v/>
      </c>
      <c r="U141" s="34"/>
      <c r="V141" s="33"/>
      <c r="W141" s="33"/>
      <c r="X141" s="33"/>
      <c r="Y141" s="33"/>
      <c r="Z141" s="33"/>
      <c r="AA141" s="33"/>
    </row>
    <row r="142" customFormat="false" ht="15" hidden="false" customHeight="false" outlineLevel="0" collapsed="false">
      <c r="A142" s="33"/>
      <c r="B142" s="33"/>
      <c r="C142" s="33"/>
      <c r="D142" s="33"/>
      <c r="E142" s="33"/>
      <c r="F142" s="33"/>
      <c r="G142" s="33"/>
      <c r="H142" s="33"/>
      <c r="I142" s="33"/>
      <c r="J142" s="34"/>
      <c r="K142" s="34"/>
      <c r="L142" s="35" t="str">
        <f aca="false">IF($J142="","",$J142-IF($K142="",0,$K142))</f>
        <v/>
      </c>
      <c r="M142" s="36"/>
      <c r="N142" s="33"/>
      <c r="O142" s="33"/>
      <c r="P142" s="37"/>
      <c r="Q142" s="34"/>
      <c r="R142" s="34"/>
      <c r="S142" s="38" t="str">
        <f aca="false">IF(OR($Q142="",$R142="",$R142=0),"",$Q142/$R142)</f>
        <v/>
      </c>
      <c r="T142" s="18" t="str">
        <f aca="false">IF($S142="","",IF($S142&gt;=0.5,"PROCEDE BAJA","EVALUAR REPARACION"))</f>
        <v/>
      </c>
      <c r="U142" s="34"/>
      <c r="V142" s="33"/>
      <c r="W142" s="33"/>
      <c r="X142" s="33"/>
      <c r="Y142" s="33"/>
      <c r="Z142" s="33"/>
      <c r="AA142" s="33"/>
    </row>
    <row r="143" customFormat="false" ht="15" hidden="false" customHeight="false" outlineLevel="0" collapsed="false">
      <c r="A143" s="33"/>
      <c r="B143" s="33"/>
      <c r="C143" s="33"/>
      <c r="D143" s="33"/>
      <c r="E143" s="33"/>
      <c r="F143" s="33"/>
      <c r="G143" s="33"/>
      <c r="H143" s="33"/>
      <c r="I143" s="33"/>
      <c r="J143" s="34"/>
      <c r="K143" s="34"/>
      <c r="L143" s="35" t="str">
        <f aca="false">IF($J143="","",$J143-IF($K143="",0,$K143))</f>
        <v/>
      </c>
      <c r="M143" s="36"/>
      <c r="N143" s="33"/>
      <c r="O143" s="33"/>
      <c r="P143" s="37"/>
      <c r="Q143" s="34"/>
      <c r="R143" s="34"/>
      <c r="S143" s="38" t="str">
        <f aca="false">IF(OR($Q143="",$R143="",$R143=0),"",$Q143/$R143)</f>
        <v/>
      </c>
      <c r="T143" s="18" t="str">
        <f aca="false">IF($S143="","",IF($S143&gt;=0.5,"PROCEDE BAJA","EVALUAR REPARACION"))</f>
        <v/>
      </c>
      <c r="U143" s="34"/>
      <c r="V143" s="33"/>
      <c r="W143" s="33"/>
      <c r="X143" s="33"/>
      <c r="Y143" s="33"/>
      <c r="Z143" s="33"/>
      <c r="AA143" s="33"/>
    </row>
    <row r="144" customFormat="false" ht="15" hidden="false" customHeight="false" outlineLevel="0" collapsed="false">
      <c r="A144" s="33"/>
      <c r="B144" s="33"/>
      <c r="C144" s="33"/>
      <c r="D144" s="33"/>
      <c r="E144" s="33"/>
      <c r="F144" s="33"/>
      <c r="G144" s="33"/>
      <c r="H144" s="33"/>
      <c r="I144" s="33"/>
      <c r="J144" s="34"/>
      <c r="K144" s="34"/>
      <c r="L144" s="35" t="str">
        <f aca="false">IF($J144="","",$J144-IF($K144="",0,$K144))</f>
        <v/>
      </c>
      <c r="M144" s="36"/>
      <c r="N144" s="33"/>
      <c r="O144" s="33"/>
      <c r="P144" s="37"/>
      <c r="Q144" s="34"/>
      <c r="R144" s="34"/>
      <c r="S144" s="38" t="str">
        <f aca="false">IF(OR($Q144="",$R144="",$R144=0),"",$Q144/$R144)</f>
        <v/>
      </c>
      <c r="T144" s="18" t="str">
        <f aca="false">IF($S144="","",IF($S144&gt;=0.5,"PROCEDE BAJA","EVALUAR REPARACION"))</f>
        <v/>
      </c>
      <c r="U144" s="34"/>
      <c r="V144" s="33"/>
      <c r="W144" s="33"/>
      <c r="X144" s="33"/>
      <c r="Y144" s="33"/>
      <c r="Z144" s="33"/>
      <c r="AA144" s="33"/>
    </row>
    <row r="145" customFormat="false" ht="15" hidden="false" customHeight="false" outlineLevel="0" collapsed="false">
      <c r="A145" s="33"/>
      <c r="B145" s="33"/>
      <c r="C145" s="33"/>
      <c r="D145" s="33"/>
      <c r="E145" s="33"/>
      <c r="F145" s="33"/>
      <c r="G145" s="33"/>
      <c r="H145" s="33"/>
      <c r="I145" s="33"/>
      <c r="J145" s="34"/>
      <c r="K145" s="34"/>
      <c r="L145" s="35" t="str">
        <f aca="false">IF($J145="","",$J145-IF($K145="",0,$K145))</f>
        <v/>
      </c>
      <c r="M145" s="36"/>
      <c r="N145" s="33"/>
      <c r="O145" s="33"/>
      <c r="P145" s="37"/>
      <c r="Q145" s="34"/>
      <c r="R145" s="34"/>
      <c r="S145" s="38" t="str">
        <f aca="false">IF(OR($Q145="",$R145="",$R145=0),"",$Q145/$R145)</f>
        <v/>
      </c>
      <c r="T145" s="18" t="str">
        <f aca="false">IF($S145="","",IF($S145&gt;=0.5,"PROCEDE BAJA","EVALUAR REPARACION"))</f>
        <v/>
      </c>
      <c r="U145" s="34"/>
      <c r="V145" s="33"/>
      <c r="W145" s="33"/>
      <c r="X145" s="33"/>
      <c r="Y145" s="33"/>
      <c r="Z145" s="33"/>
      <c r="AA145" s="33"/>
    </row>
    <row r="146" customFormat="false" ht="15" hidden="false" customHeight="false" outlineLevel="0" collapsed="false">
      <c r="A146" s="33"/>
      <c r="B146" s="33"/>
      <c r="C146" s="33"/>
      <c r="D146" s="33"/>
      <c r="E146" s="33"/>
      <c r="F146" s="33"/>
      <c r="G146" s="33"/>
      <c r="H146" s="33"/>
      <c r="I146" s="33"/>
      <c r="J146" s="34"/>
      <c r="K146" s="34"/>
      <c r="L146" s="35" t="str">
        <f aca="false">IF($J146="","",$J146-IF($K146="",0,$K146))</f>
        <v/>
      </c>
      <c r="M146" s="36"/>
      <c r="N146" s="33"/>
      <c r="O146" s="33"/>
      <c r="P146" s="37"/>
      <c r="Q146" s="34"/>
      <c r="R146" s="34"/>
      <c r="S146" s="38" t="str">
        <f aca="false">IF(OR($Q146="",$R146="",$R146=0),"",$Q146/$R146)</f>
        <v/>
      </c>
      <c r="T146" s="18" t="str">
        <f aca="false">IF($S146="","",IF($S146&gt;=0.5,"PROCEDE BAJA","EVALUAR REPARACION"))</f>
        <v/>
      </c>
      <c r="U146" s="34"/>
      <c r="V146" s="33"/>
      <c r="W146" s="33"/>
      <c r="X146" s="33"/>
      <c r="Y146" s="33"/>
      <c r="Z146" s="33"/>
      <c r="AA146" s="33"/>
    </row>
    <row r="147" customFormat="false" ht="15" hidden="false" customHeight="false" outlineLevel="0" collapsed="false">
      <c r="A147" s="33"/>
      <c r="B147" s="33"/>
      <c r="C147" s="33"/>
      <c r="D147" s="33"/>
      <c r="E147" s="33"/>
      <c r="F147" s="33"/>
      <c r="G147" s="33"/>
      <c r="H147" s="33"/>
      <c r="I147" s="33"/>
      <c r="J147" s="34"/>
      <c r="K147" s="34"/>
      <c r="L147" s="35" t="str">
        <f aca="false">IF($J147="","",$J147-IF($K147="",0,$K147))</f>
        <v/>
      </c>
      <c r="M147" s="36"/>
      <c r="N147" s="33"/>
      <c r="O147" s="33"/>
      <c r="P147" s="37"/>
      <c r="Q147" s="34"/>
      <c r="R147" s="34"/>
      <c r="S147" s="38" t="str">
        <f aca="false">IF(OR($Q147="",$R147="",$R147=0),"",$Q147/$R147)</f>
        <v/>
      </c>
      <c r="T147" s="18" t="str">
        <f aca="false">IF($S147="","",IF($S147&gt;=0.5,"PROCEDE BAJA","EVALUAR REPARACION"))</f>
        <v/>
      </c>
      <c r="U147" s="34"/>
      <c r="V147" s="33"/>
      <c r="W147" s="33"/>
      <c r="X147" s="33"/>
      <c r="Y147" s="33"/>
      <c r="Z147" s="33"/>
      <c r="AA147" s="33"/>
    </row>
    <row r="148" customFormat="false" ht="15" hidden="false" customHeight="false" outlineLevel="0" collapsed="false">
      <c r="A148" s="33"/>
      <c r="B148" s="33"/>
      <c r="C148" s="33"/>
      <c r="D148" s="33"/>
      <c r="E148" s="33"/>
      <c r="F148" s="33"/>
      <c r="G148" s="33"/>
      <c r="H148" s="33"/>
      <c r="I148" s="33"/>
      <c r="J148" s="34"/>
      <c r="K148" s="34"/>
      <c r="L148" s="35" t="str">
        <f aca="false">IF($J148="","",$J148-IF($K148="",0,$K148))</f>
        <v/>
      </c>
      <c r="M148" s="36"/>
      <c r="N148" s="33"/>
      <c r="O148" s="33"/>
      <c r="P148" s="37"/>
      <c r="Q148" s="34"/>
      <c r="R148" s="34"/>
      <c r="S148" s="38" t="str">
        <f aca="false">IF(OR($Q148="",$R148="",$R148=0),"",$Q148/$R148)</f>
        <v/>
      </c>
      <c r="T148" s="18" t="str">
        <f aca="false">IF($S148="","",IF($S148&gt;=0.5,"PROCEDE BAJA","EVALUAR REPARACION"))</f>
        <v/>
      </c>
      <c r="U148" s="34"/>
      <c r="V148" s="33"/>
      <c r="W148" s="33"/>
      <c r="X148" s="33"/>
      <c r="Y148" s="33"/>
      <c r="Z148" s="33"/>
      <c r="AA148" s="33"/>
    </row>
    <row r="149" customFormat="false" ht="15" hidden="false" customHeight="false" outlineLevel="0" collapsed="false">
      <c r="A149" s="33"/>
      <c r="B149" s="33"/>
      <c r="C149" s="33"/>
      <c r="D149" s="33"/>
      <c r="E149" s="33"/>
      <c r="F149" s="33"/>
      <c r="G149" s="33"/>
      <c r="H149" s="33"/>
      <c r="I149" s="33"/>
      <c r="J149" s="34"/>
      <c r="K149" s="34"/>
      <c r="L149" s="35" t="str">
        <f aca="false">IF($J149="","",$J149-IF($K149="",0,$K149))</f>
        <v/>
      </c>
      <c r="M149" s="36"/>
      <c r="N149" s="33"/>
      <c r="O149" s="33"/>
      <c r="P149" s="37"/>
      <c r="Q149" s="34"/>
      <c r="R149" s="34"/>
      <c r="S149" s="38" t="str">
        <f aca="false">IF(OR($Q149="",$R149="",$R149=0),"",$Q149/$R149)</f>
        <v/>
      </c>
      <c r="T149" s="18" t="str">
        <f aca="false">IF($S149="","",IF($S149&gt;=0.5,"PROCEDE BAJA","EVALUAR REPARACION"))</f>
        <v/>
      </c>
      <c r="U149" s="34"/>
      <c r="V149" s="33"/>
      <c r="W149" s="33"/>
      <c r="X149" s="33"/>
      <c r="Y149" s="33"/>
      <c r="Z149" s="33"/>
      <c r="AA149" s="33"/>
    </row>
    <row r="150" customFormat="false" ht="15" hidden="false" customHeight="false" outlineLevel="0" collapsed="false">
      <c r="A150" s="33"/>
      <c r="B150" s="33"/>
      <c r="C150" s="33"/>
      <c r="D150" s="33"/>
      <c r="E150" s="33"/>
      <c r="F150" s="33"/>
      <c r="G150" s="33"/>
      <c r="H150" s="33"/>
      <c r="I150" s="33"/>
      <c r="J150" s="34"/>
      <c r="K150" s="34"/>
      <c r="L150" s="35" t="str">
        <f aca="false">IF($J150="","",$J150-IF($K150="",0,$K150))</f>
        <v/>
      </c>
      <c r="M150" s="36"/>
      <c r="N150" s="33"/>
      <c r="O150" s="33"/>
      <c r="P150" s="37"/>
      <c r="Q150" s="34"/>
      <c r="R150" s="34"/>
      <c r="S150" s="38" t="str">
        <f aca="false">IF(OR($Q150="",$R150="",$R150=0),"",$Q150/$R150)</f>
        <v/>
      </c>
      <c r="T150" s="18" t="str">
        <f aca="false">IF($S150="","",IF($S150&gt;=0.5,"PROCEDE BAJA","EVALUAR REPARACION"))</f>
        <v/>
      </c>
      <c r="U150" s="34"/>
      <c r="V150" s="33"/>
      <c r="W150" s="33"/>
      <c r="X150" s="33"/>
      <c r="Y150" s="33"/>
      <c r="Z150" s="33"/>
      <c r="AA150" s="33"/>
    </row>
    <row r="151" customFormat="false" ht="15" hidden="false" customHeight="false" outlineLevel="0" collapsed="false">
      <c r="A151" s="33"/>
      <c r="B151" s="33"/>
      <c r="C151" s="33"/>
      <c r="D151" s="33"/>
      <c r="E151" s="33"/>
      <c r="F151" s="33"/>
      <c r="G151" s="33"/>
      <c r="H151" s="33"/>
      <c r="I151" s="33"/>
      <c r="J151" s="34"/>
      <c r="K151" s="34"/>
      <c r="L151" s="35" t="str">
        <f aca="false">IF($J151="","",$J151-IF($K151="",0,$K151))</f>
        <v/>
      </c>
      <c r="M151" s="36"/>
      <c r="N151" s="33"/>
      <c r="O151" s="33"/>
      <c r="P151" s="37"/>
      <c r="Q151" s="34"/>
      <c r="R151" s="34"/>
      <c r="S151" s="38" t="str">
        <f aca="false">IF(OR($Q151="",$R151="",$R151=0),"",$Q151/$R151)</f>
        <v/>
      </c>
      <c r="T151" s="18" t="str">
        <f aca="false">IF($S151="","",IF($S151&gt;=0.5,"PROCEDE BAJA","EVALUAR REPARACION"))</f>
        <v/>
      </c>
      <c r="U151" s="34"/>
      <c r="V151" s="33"/>
      <c r="W151" s="33"/>
      <c r="X151" s="33"/>
      <c r="Y151" s="33"/>
      <c r="Z151" s="33"/>
      <c r="AA151" s="33"/>
    </row>
    <row r="152" customFormat="false" ht="15" hidden="false" customHeight="false" outlineLevel="0" collapsed="false">
      <c r="A152" s="33"/>
      <c r="B152" s="33"/>
      <c r="C152" s="33"/>
      <c r="D152" s="33"/>
      <c r="E152" s="33"/>
      <c r="F152" s="33"/>
      <c r="G152" s="33"/>
      <c r="H152" s="33"/>
      <c r="I152" s="33"/>
      <c r="J152" s="34"/>
      <c r="K152" s="34"/>
      <c r="L152" s="35" t="str">
        <f aca="false">IF($J152="","",$J152-IF($K152="",0,$K152))</f>
        <v/>
      </c>
      <c r="M152" s="36"/>
      <c r="N152" s="33"/>
      <c r="O152" s="33"/>
      <c r="P152" s="37"/>
      <c r="Q152" s="34"/>
      <c r="R152" s="34"/>
      <c r="S152" s="38" t="str">
        <f aca="false">IF(OR($Q152="",$R152="",$R152=0),"",$Q152/$R152)</f>
        <v/>
      </c>
      <c r="T152" s="18" t="str">
        <f aca="false">IF($S152="","",IF($S152&gt;=0.5,"PROCEDE BAJA","EVALUAR REPARACION"))</f>
        <v/>
      </c>
      <c r="U152" s="34"/>
      <c r="V152" s="33"/>
      <c r="W152" s="33"/>
      <c r="X152" s="33"/>
      <c r="Y152" s="33"/>
      <c r="Z152" s="33"/>
      <c r="AA152" s="33"/>
    </row>
    <row r="153" customFormat="false" ht="15" hidden="false" customHeight="false" outlineLevel="0" collapsed="false">
      <c r="A153" s="33"/>
      <c r="B153" s="33"/>
      <c r="C153" s="33"/>
      <c r="D153" s="33"/>
      <c r="E153" s="33"/>
      <c r="F153" s="33"/>
      <c r="G153" s="33"/>
      <c r="H153" s="33"/>
      <c r="I153" s="33"/>
      <c r="J153" s="34"/>
      <c r="K153" s="34"/>
      <c r="L153" s="35" t="str">
        <f aca="false">IF($J153="","",$J153-IF($K153="",0,$K153))</f>
        <v/>
      </c>
      <c r="M153" s="36"/>
      <c r="N153" s="33"/>
      <c r="O153" s="33"/>
      <c r="P153" s="37"/>
      <c r="Q153" s="34"/>
      <c r="R153" s="34"/>
      <c r="S153" s="38" t="str">
        <f aca="false">IF(OR($Q153="",$R153="",$R153=0),"",$Q153/$R153)</f>
        <v/>
      </c>
      <c r="T153" s="18" t="str">
        <f aca="false">IF($S153="","",IF($S153&gt;=0.5,"PROCEDE BAJA","EVALUAR REPARACION"))</f>
        <v/>
      </c>
      <c r="U153" s="34"/>
      <c r="V153" s="33"/>
      <c r="W153" s="33"/>
      <c r="X153" s="33"/>
      <c r="Y153" s="33"/>
      <c r="Z153" s="33"/>
      <c r="AA153" s="33"/>
    </row>
    <row r="154" customFormat="false" ht="15" hidden="false" customHeight="false" outlineLevel="0" collapsed="false">
      <c r="A154" s="33"/>
      <c r="B154" s="33"/>
      <c r="C154" s="33"/>
      <c r="D154" s="33"/>
      <c r="E154" s="33"/>
      <c r="F154" s="33"/>
      <c r="G154" s="33"/>
      <c r="H154" s="33"/>
      <c r="I154" s="33"/>
      <c r="J154" s="34"/>
      <c r="K154" s="34"/>
      <c r="L154" s="35" t="str">
        <f aca="false">IF($J154="","",$J154-IF($K154="",0,$K154))</f>
        <v/>
      </c>
      <c r="M154" s="36"/>
      <c r="N154" s="33"/>
      <c r="O154" s="33"/>
      <c r="P154" s="37"/>
      <c r="Q154" s="34"/>
      <c r="R154" s="34"/>
      <c r="S154" s="38" t="str">
        <f aca="false">IF(OR($Q154="",$R154="",$R154=0),"",$Q154/$R154)</f>
        <v/>
      </c>
      <c r="T154" s="18" t="str">
        <f aca="false">IF($S154="","",IF($S154&gt;=0.5,"PROCEDE BAJA","EVALUAR REPARACION"))</f>
        <v/>
      </c>
      <c r="U154" s="34"/>
      <c r="V154" s="33"/>
      <c r="W154" s="33"/>
      <c r="X154" s="33"/>
      <c r="Y154" s="33"/>
      <c r="Z154" s="33"/>
      <c r="AA154" s="33"/>
    </row>
    <row r="155" customFormat="false" ht="15" hidden="false" customHeight="false" outlineLevel="0" collapsed="false">
      <c r="A155" s="33"/>
      <c r="B155" s="33"/>
      <c r="C155" s="33"/>
      <c r="D155" s="33"/>
      <c r="E155" s="33"/>
      <c r="F155" s="33"/>
      <c r="G155" s="33"/>
      <c r="H155" s="33"/>
      <c r="I155" s="33"/>
      <c r="J155" s="34"/>
      <c r="K155" s="34"/>
      <c r="L155" s="35" t="str">
        <f aca="false">IF($J155="","",$J155-IF($K155="",0,$K155))</f>
        <v/>
      </c>
      <c r="M155" s="36"/>
      <c r="N155" s="33"/>
      <c r="O155" s="33"/>
      <c r="P155" s="37"/>
      <c r="Q155" s="34"/>
      <c r="R155" s="34"/>
      <c r="S155" s="38" t="str">
        <f aca="false">IF(OR($Q155="",$R155="",$R155=0),"",$Q155/$R155)</f>
        <v/>
      </c>
      <c r="T155" s="18" t="str">
        <f aca="false">IF($S155="","",IF($S155&gt;=0.5,"PROCEDE BAJA","EVALUAR REPARACION"))</f>
        <v/>
      </c>
      <c r="U155" s="34"/>
      <c r="V155" s="33"/>
      <c r="W155" s="33"/>
      <c r="X155" s="33"/>
      <c r="Y155" s="33"/>
      <c r="Z155" s="33"/>
      <c r="AA155" s="33"/>
    </row>
    <row r="156" customFormat="false" ht="15" hidden="false" customHeight="false" outlineLevel="0" collapsed="false">
      <c r="A156" s="33"/>
      <c r="B156" s="33"/>
      <c r="C156" s="33"/>
      <c r="D156" s="33"/>
      <c r="E156" s="33"/>
      <c r="F156" s="33"/>
      <c r="G156" s="33"/>
      <c r="H156" s="33"/>
      <c r="I156" s="33"/>
      <c r="J156" s="34"/>
      <c r="K156" s="34"/>
      <c r="L156" s="35" t="str">
        <f aca="false">IF($J156="","",$J156-IF($K156="",0,$K156))</f>
        <v/>
      </c>
      <c r="M156" s="36"/>
      <c r="N156" s="33"/>
      <c r="O156" s="33"/>
      <c r="P156" s="37"/>
      <c r="Q156" s="34"/>
      <c r="R156" s="34"/>
      <c r="S156" s="38" t="str">
        <f aca="false">IF(OR($Q156="",$R156="",$R156=0),"",$Q156/$R156)</f>
        <v/>
      </c>
      <c r="T156" s="18" t="str">
        <f aca="false">IF($S156="","",IF($S156&gt;=0.5,"PROCEDE BAJA","EVALUAR REPARACION"))</f>
        <v/>
      </c>
      <c r="U156" s="34"/>
      <c r="V156" s="33"/>
      <c r="W156" s="33"/>
      <c r="X156" s="33"/>
      <c r="Y156" s="33"/>
      <c r="Z156" s="33"/>
      <c r="AA156" s="33"/>
    </row>
    <row r="157" customFormat="false" ht="15" hidden="false" customHeight="false" outlineLevel="0" collapsed="false">
      <c r="A157" s="33"/>
      <c r="B157" s="33"/>
      <c r="C157" s="33"/>
      <c r="D157" s="33"/>
      <c r="E157" s="33"/>
      <c r="F157" s="33"/>
      <c r="G157" s="33"/>
      <c r="H157" s="33"/>
      <c r="I157" s="33"/>
      <c r="J157" s="34"/>
      <c r="K157" s="34"/>
      <c r="L157" s="35" t="str">
        <f aca="false">IF($J157="","",$J157-IF($K157="",0,$K157))</f>
        <v/>
      </c>
      <c r="M157" s="36"/>
      <c r="N157" s="33"/>
      <c r="O157" s="33"/>
      <c r="P157" s="37"/>
      <c r="Q157" s="34"/>
      <c r="R157" s="34"/>
      <c r="S157" s="38" t="str">
        <f aca="false">IF(OR($Q157="",$R157="",$R157=0),"",$Q157/$R157)</f>
        <v/>
      </c>
      <c r="T157" s="18" t="str">
        <f aca="false">IF($S157="","",IF($S157&gt;=0.5,"PROCEDE BAJA","EVALUAR REPARACION"))</f>
        <v/>
      </c>
      <c r="U157" s="34"/>
      <c r="V157" s="33"/>
      <c r="W157" s="33"/>
      <c r="X157" s="33"/>
      <c r="Y157" s="33"/>
      <c r="Z157" s="33"/>
      <c r="AA157" s="33"/>
    </row>
  </sheetData>
  <mergeCells count="2">
    <mergeCell ref="A1:AA1"/>
    <mergeCell ref="A2:AA2"/>
  </mergeCells>
  <dataValidations count="4">
    <dataValidation allowBlank="true" error="Seleccione un valor de la lista desplegable." errorStyle="stop" errorTitle="Valor no permitido" operator="between" showDropDown="false" showErrorMessage="true" showInputMessage="false" sqref="N7:N157" type="list">
      <formula1>"BUENO,REGULAR,MALO,INSERVIBLE"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O7:O157" type="list">
      <formula1>"OBSOLESCENCIA,INSERVIBLE,CASO_FORTUITO,DESUSO,DONACION_O_TRASLADO"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V7:V157" type="list">
      <formula1>"VENTA,REMATE,DESTRUCCION,DONACION,RECICLAJE_RAEE,GESTOR_AMBIENTAL"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Y7:Y157" type="list">
      <formula1>"PROPUESTO,EN_REVISION,APROBADO_COMITE,RECHAZADO,RESOLUCION_EMITIDA,EJECUTADO"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40"/>
    <col collapsed="false" customWidth="true" hidden="false" outlineLevel="0" max="5" min="5" style="1" width="18"/>
    <col collapsed="false" customWidth="true" hidden="false" outlineLevel="0" max="7" min="6" style="1" width="16"/>
    <col collapsed="false" customWidth="true" hidden="false" outlineLevel="0" max="8" min="8" style="1" width="28"/>
  </cols>
  <sheetData>
    <row r="1" customFormat="false" ht="15" hidden="false" customHeight="false" outlineLevel="0" collapsed="false">
      <c r="A1" s="21" t="s">
        <v>108</v>
      </c>
      <c r="B1" s="21"/>
      <c r="C1" s="21"/>
      <c r="D1" s="21"/>
      <c r="E1" s="21"/>
      <c r="F1" s="21"/>
      <c r="G1" s="21"/>
      <c r="H1" s="21"/>
    </row>
    <row r="2" customFormat="false" ht="15" hidden="false" customHeight="false" outlineLevel="0" collapsed="false">
      <c r="A2" s="22" t="s">
        <v>139</v>
      </c>
      <c r="B2" s="22"/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A3" s="3" t="s">
        <v>110</v>
      </c>
      <c r="B3" s="23" t="s">
        <v>111</v>
      </c>
      <c r="D3" s="3" t="s">
        <v>112</v>
      </c>
      <c r="E3" s="24"/>
    </row>
    <row r="4" customFormat="false" ht="15" hidden="false" customHeight="false" outlineLevel="0" collapsed="false">
      <c r="A4" s="25" t="s">
        <v>113</v>
      </c>
    </row>
    <row r="6" customFormat="false" ht="33.75" hidden="false" customHeight="true" outlineLevel="0" collapsed="false">
      <c r="A6" s="26" t="s">
        <v>44</v>
      </c>
      <c r="B6" s="26" t="s">
        <v>49</v>
      </c>
      <c r="C6" s="26" t="s">
        <v>53</v>
      </c>
      <c r="D6" s="26" t="s">
        <v>98</v>
      </c>
      <c r="E6" s="26" t="s">
        <v>100</v>
      </c>
      <c r="F6" s="26" t="s">
        <v>102</v>
      </c>
      <c r="G6" s="27" t="s">
        <v>104</v>
      </c>
      <c r="H6" s="26" t="s">
        <v>106</v>
      </c>
    </row>
    <row r="7" customFormat="false" ht="15" hidden="false" customHeight="false" outlineLevel="0" collapsed="false">
      <c r="A7" s="28" t="s">
        <v>140</v>
      </c>
      <c r="B7" s="28" t="s">
        <v>141</v>
      </c>
      <c r="C7" s="28" t="s">
        <v>142</v>
      </c>
      <c r="D7" s="31" t="s">
        <v>143</v>
      </c>
      <c r="E7" s="28" t="s">
        <v>144</v>
      </c>
      <c r="F7" s="39" t="s">
        <v>145</v>
      </c>
      <c r="G7" s="39" t="n">
        <f aca="false">IF($F7="","",$F7+365)</f>
        <v>46447</v>
      </c>
      <c r="H7" s="28" t="s">
        <v>146</v>
      </c>
    </row>
    <row r="8" customFormat="false" ht="15" hidden="false" customHeight="false" outlineLevel="0" collapsed="false">
      <c r="A8" s="33"/>
      <c r="B8" s="33"/>
      <c r="C8" s="33"/>
      <c r="D8" s="37"/>
      <c r="E8" s="33"/>
      <c r="F8" s="40"/>
      <c r="G8" s="41" t="str">
        <f aca="false">IF($F8="","",$F8+365)</f>
        <v/>
      </c>
      <c r="H8" s="33"/>
    </row>
    <row r="9" customFormat="false" ht="15" hidden="false" customHeight="false" outlineLevel="0" collapsed="false">
      <c r="A9" s="33"/>
      <c r="B9" s="33"/>
      <c r="C9" s="33"/>
      <c r="D9" s="37"/>
      <c r="E9" s="33"/>
      <c r="F9" s="40"/>
      <c r="G9" s="41" t="str">
        <f aca="false">IF($F9="","",$F9+365)</f>
        <v/>
      </c>
      <c r="H9" s="33"/>
    </row>
    <row r="10" customFormat="false" ht="15" hidden="false" customHeight="false" outlineLevel="0" collapsed="false">
      <c r="A10" s="33"/>
      <c r="B10" s="33"/>
      <c r="C10" s="33"/>
      <c r="D10" s="37"/>
      <c r="E10" s="33"/>
      <c r="F10" s="40"/>
      <c r="G10" s="41" t="str">
        <f aca="false">IF($F10="","",$F10+365)</f>
        <v/>
      </c>
      <c r="H10" s="33"/>
    </row>
    <row r="11" customFormat="false" ht="15" hidden="false" customHeight="false" outlineLevel="0" collapsed="false">
      <c r="A11" s="33"/>
      <c r="B11" s="33"/>
      <c r="C11" s="33"/>
      <c r="D11" s="37"/>
      <c r="E11" s="33"/>
      <c r="F11" s="40"/>
      <c r="G11" s="41" t="str">
        <f aca="false">IF($F11="","",$F11+365)</f>
        <v/>
      </c>
      <c r="H11" s="33"/>
    </row>
    <row r="12" customFormat="false" ht="15" hidden="false" customHeight="false" outlineLevel="0" collapsed="false">
      <c r="A12" s="33"/>
      <c r="B12" s="33"/>
      <c r="C12" s="33"/>
      <c r="D12" s="37"/>
      <c r="E12" s="33"/>
      <c r="F12" s="40"/>
      <c r="G12" s="41" t="str">
        <f aca="false">IF($F12="","",$F12+365)</f>
        <v/>
      </c>
      <c r="H12" s="33"/>
    </row>
    <row r="13" customFormat="false" ht="15" hidden="false" customHeight="false" outlineLevel="0" collapsed="false">
      <c r="A13" s="33"/>
      <c r="B13" s="33"/>
      <c r="C13" s="33"/>
      <c r="D13" s="37"/>
      <c r="E13" s="33"/>
      <c r="F13" s="40"/>
      <c r="G13" s="41" t="str">
        <f aca="false">IF($F13="","",$F13+365)</f>
        <v/>
      </c>
      <c r="H13" s="33"/>
    </row>
    <row r="14" customFormat="false" ht="15" hidden="false" customHeight="false" outlineLevel="0" collapsed="false">
      <c r="A14" s="33"/>
      <c r="B14" s="33"/>
      <c r="C14" s="33"/>
      <c r="D14" s="37"/>
      <c r="E14" s="33"/>
      <c r="F14" s="40"/>
      <c r="G14" s="41" t="str">
        <f aca="false">IF($F14="","",$F14+365)</f>
        <v/>
      </c>
      <c r="H14" s="33"/>
    </row>
    <row r="15" customFormat="false" ht="15" hidden="false" customHeight="false" outlineLevel="0" collapsed="false">
      <c r="A15" s="33"/>
      <c r="B15" s="33"/>
      <c r="C15" s="33"/>
      <c r="D15" s="37"/>
      <c r="E15" s="33"/>
      <c r="F15" s="40"/>
      <c r="G15" s="41" t="str">
        <f aca="false">IF($F15="","",$F15+365)</f>
        <v/>
      </c>
      <c r="H15" s="33"/>
    </row>
    <row r="16" customFormat="false" ht="15" hidden="false" customHeight="false" outlineLevel="0" collapsed="false">
      <c r="A16" s="33"/>
      <c r="B16" s="33"/>
      <c r="C16" s="33"/>
      <c r="D16" s="37"/>
      <c r="E16" s="33"/>
      <c r="F16" s="40"/>
      <c r="G16" s="41" t="str">
        <f aca="false">IF($F16="","",$F16+365)</f>
        <v/>
      </c>
      <c r="H16" s="33"/>
    </row>
    <row r="17" customFormat="false" ht="15" hidden="false" customHeight="false" outlineLevel="0" collapsed="false">
      <c r="A17" s="33"/>
      <c r="B17" s="33"/>
      <c r="C17" s="33"/>
      <c r="D17" s="37"/>
      <c r="E17" s="33"/>
      <c r="F17" s="40"/>
      <c r="G17" s="41" t="str">
        <f aca="false">IF($F17="","",$F17+365)</f>
        <v/>
      </c>
      <c r="H17" s="33"/>
    </row>
    <row r="18" customFormat="false" ht="15" hidden="false" customHeight="false" outlineLevel="0" collapsed="false">
      <c r="A18" s="33"/>
      <c r="B18" s="33"/>
      <c r="C18" s="33"/>
      <c r="D18" s="37"/>
      <c r="E18" s="33"/>
      <c r="F18" s="40"/>
      <c r="G18" s="41" t="str">
        <f aca="false">IF($F18="","",$F18+365)</f>
        <v/>
      </c>
      <c r="H18" s="33"/>
    </row>
    <row r="19" customFormat="false" ht="15" hidden="false" customHeight="false" outlineLevel="0" collapsed="false">
      <c r="A19" s="33"/>
      <c r="B19" s="33"/>
      <c r="C19" s="33"/>
      <c r="D19" s="37"/>
      <c r="E19" s="33"/>
      <c r="F19" s="40"/>
      <c r="G19" s="41" t="str">
        <f aca="false">IF($F19="","",$F19+365)</f>
        <v/>
      </c>
      <c r="H19" s="33"/>
    </row>
    <row r="20" customFormat="false" ht="15" hidden="false" customHeight="false" outlineLevel="0" collapsed="false">
      <c r="A20" s="33"/>
      <c r="B20" s="33"/>
      <c r="C20" s="33"/>
      <c r="D20" s="37"/>
      <c r="E20" s="33"/>
      <c r="F20" s="40"/>
      <c r="G20" s="41" t="str">
        <f aca="false">IF($F20="","",$F20+365)</f>
        <v/>
      </c>
      <c r="H20" s="33"/>
    </row>
    <row r="21" customFormat="false" ht="15" hidden="false" customHeight="false" outlineLevel="0" collapsed="false">
      <c r="A21" s="33"/>
      <c r="B21" s="33"/>
      <c r="C21" s="33"/>
      <c r="D21" s="37"/>
      <c r="E21" s="33"/>
      <c r="F21" s="40"/>
      <c r="G21" s="41" t="str">
        <f aca="false">IF($F21="","",$F21+365)</f>
        <v/>
      </c>
      <c r="H21" s="33"/>
    </row>
    <row r="22" customFormat="false" ht="15" hidden="false" customHeight="false" outlineLevel="0" collapsed="false">
      <c r="A22" s="33"/>
      <c r="B22" s="33"/>
      <c r="C22" s="33"/>
      <c r="D22" s="37"/>
      <c r="E22" s="33"/>
      <c r="F22" s="40"/>
      <c r="G22" s="41" t="str">
        <f aca="false">IF($F22="","",$F22+365)</f>
        <v/>
      </c>
      <c r="H22" s="33"/>
    </row>
    <row r="23" customFormat="false" ht="15" hidden="false" customHeight="false" outlineLevel="0" collapsed="false">
      <c r="A23" s="33"/>
      <c r="B23" s="33"/>
      <c r="C23" s="33"/>
      <c r="D23" s="37"/>
      <c r="E23" s="33"/>
      <c r="F23" s="40"/>
      <c r="G23" s="41" t="str">
        <f aca="false">IF($F23="","",$F23+365)</f>
        <v/>
      </c>
      <c r="H23" s="33"/>
    </row>
    <row r="24" customFormat="false" ht="15" hidden="false" customHeight="false" outlineLevel="0" collapsed="false">
      <c r="A24" s="33"/>
      <c r="B24" s="33"/>
      <c r="C24" s="33"/>
      <c r="D24" s="37"/>
      <c r="E24" s="33"/>
      <c r="F24" s="40"/>
      <c r="G24" s="41" t="str">
        <f aca="false">IF($F24="","",$F24+365)</f>
        <v/>
      </c>
      <c r="H24" s="33"/>
    </row>
    <row r="25" customFormat="false" ht="15" hidden="false" customHeight="false" outlineLevel="0" collapsed="false">
      <c r="A25" s="33"/>
      <c r="B25" s="33"/>
      <c r="C25" s="33"/>
      <c r="D25" s="37"/>
      <c r="E25" s="33"/>
      <c r="F25" s="40"/>
      <c r="G25" s="41" t="str">
        <f aca="false">IF($F25="","",$F25+365)</f>
        <v/>
      </c>
      <c r="H25" s="33"/>
    </row>
    <row r="26" customFormat="false" ht="15" hidden="false" customHeight="false" outlineLevel="0" collapsed="false">
      <c r="A26" s="33"/>
      <c r="B26" s="33"/>
      <c r="C26" s="33"/>
      <c r="D26" s="37"/>
      <c r="E26" s="33"/>
      <c r="F26" s="40"/>
      <c r="G26" s="41" t="str">
        <f aca="false">IF($F26="","",$F26+365)</f>
        <v/>
      </c>
      <c r="H26" s="33"/>
    </row>
    <row r="27" customFormat="false" ht="15" hidden="false" customHeight="false" outlineLevel="0" collapsed="false">
      <c r="A27" s="33"/>
      <c r="B27" s="33"/>
      <c r="C27" s="33"/>
      <c r="D27" s="37"/>
      <c r="E27" s="33"/>
      <c r="F27" s="40"/>
      <c r="G27" s="41" t="str">
        <f aca="false">IF($F27="","",$F27+365)</f>
        <v/>
      </c>
      <c r="H27" s="33"/>
    </row>
    <row r="28" customFormat="false" ht="15" hidden="false" customHeight="false" outlineLevel="0" collapsed="false">
      <c r="A28" s="33"/>
      <c r="B28" s="33"/>
      <c r="C28" s="33"/>
      <c r="D28" s="37"/>
      <c r="E28" s="33"/>
      <c r="F28" s="40"/>
      <c r="G28" s="41" t="str">
        <f aca="false">IF($F28="","",$F28+365)</f>
        <v/>
      </c>
      <c r="H28" s="33"/>
    </row>
    <row r="29" customFormat="false" ht="15" hidden="false" customHeight="false" outlineLevel="0" collapsed="false">
      <c r="A29" s="33"/>
      <c r="B29" s="33"/>
      <c r="C29" s="33"/>
      <c r="D29" s="37"/>
      <c r="E29" s="33"/>
      <c r="F29" s="40"/>
      <c r="G29" s="41" t="str">
        <f aca="false">IF($F29="","",$F29+365)</f>
        <v/>
      </c>
      <c r="H29" s="33"/>
    </row>
    <row r="30" customFormat="false" ht="15" hidden="false" customHeight="false" outlineLevel="0" collapsed="false">
      <c r="A30" s="33"/>
      <c r="B30" s="33"/>
      <c r="C30" s="33"/>
      <c r="D30" s="37"/>
      <c r="E30" s="33"/>
      <c r="F30" s="40"/>
      <c r="G30" s="41" t="str">
        <f aca="false">IF($F30="","",$F30+365)</f>
        <v/>
      </c>
      <c r="H30" s="33"/>
    </row>
    <row r="31" customFormat="false" ht="15" hidden="false" customHeight="false" outlineLevel="0" collapsed="false">
      <c r="A31" s="33"/>
      <c r="B31" s="33"/>
      <c r="C31" s="33"/>
      <c r="D31" s="37"/>
      <c r="E31" s="33"/>
      <c r="F31" s="40"/>
      <c r="G31" s="41" t="str">
        <f aca="false">IF($F31="","",$F31+365)</f>
        <v/>
      </c>
      <c r="H31" s="33"/>
    </row>
    <row r="32" customFormat="false" ht="15" hidden="false" customHeight="false" outlineLevel="0" collapsed="false">
      <c r="A32" s="33"/>
      <c r="B32" s="33"/>
      <c r="C32" s="33"/>
      <c r="D32" s="37"/>
      <c r="E32" s="33"/>
      <c r="F32" s="40"/>
      <c r="G32" s="41" t="str">
        <f aca="false">IF($F32="","",$F32+365)</f>
        <v/>
      </c>
      <c r="H32" s="33"/>
    </row>
    <row r="33" customFormat="false" ht="15" hidden="false" customHeight="false" outlineLevel="0" collapsed="false">
      <c r="A33" s="33"/>
      <c r="B33" s="33"/>
      <c r="C33" s="33"/>
      <c r="D33" s="37"/>
      <c r="E33" s="33"/>
      <c r="F33" s="40"/>
      <c r="G33" s="41" t="str">
        <f aca="false">IF($F33="","",$F33+365)</f>
        <v/>
      </c>
      <c r="H33" s="33"/>
    </row>
    <row r="34" customFormat="false" ht="15" hidden="false" customHeight="false" outlineLevel="0" collapsed="false">
      <c r="A34" s="33"/>
      <c r="B34" s="33"/>
      <c r="C34" s="33"/>
      <c r="D34" s="37"/>
      <c r="E34" s="33"/>
      <c r="F34" s="40"/>
      <c r="G34" s="41" t="str">
        <f aca="false">IF($F34="","",$F34+365)</f>
        <v/>
      </c>
      <c r="H34" s="33"/>
    </row>
    <row r="35" customFormat="false" ht="15" hidden="false" customHeight="false" outlineLevel="0" collapsed="false">
      <c r="A35" s="33"/>
      <c r="B35" s="33"/>
      <c r="C35" s="33"/>
      <c r="D35" s="37"/>
      <c r="E35" s="33"/>
      <c r="F35" s="40"/>
      <c r="G35" s="41" t="str">
        <f aca="false">IF($F35="","",$F35+365)</f>
        <v/>
      </c>
      <c r="H35" s="33"/>
    </row>
    <row r="36" customFormat="false" ht="15" hidden="false" customHeight="false" outlineLevel="0" collapsed="false">
      <c r="A36" s="33"/>
      <c r="B36" s="33"/>
      <c r="C36" s="33"/>
      <c r="D36" s="37"/>
      <c r="E36" s="33"/>
      <c r="F36" s="40"/>
      <c r="G36" s="41" t="str">
        <f aca="false">IF($F36="","",$F36+365)</f>
        <v/>
      </c>
      <c r="H36" s="33"/>
    </row>
    <row r="37" customFormat="false" ht="15" hidden="false" customHeight="false" outlineLevel="0" collapsed="false">
      <c r="A37" s="33"/>
      <c r="B37" s="33"/>
      <c r="C37" s="33"/>
      <c r="D37" s="37"/>
      <c r="E37" s="33"/>
      <c r="F37" s="40"/>
      <c r="G37" s="41" t="str">
        <f aca="false">IF($F37="","",$F37+365)</f>
        <v/>
      </c>
      <c r="H37" s="33"/>
    </row>
    <row r="38" customFormat="false" ht="15" hidden="false" customHeight="false" outlineLevel="0" collapsed="false">
      <c r="A38" s="33"/>
      <c r="B38" s="33"/>
      <c r="C38" s="33"/>
      <c r="D38" s="37"/>
      <c r="E38" s="33"/>
      <c r="F38" s="40"/>
      <c r="G38" s="41" t="str">
        <f aca="false">IF($F38="","",$F38+365)</f>
        <v/>
      </c>
      <c r="H38" s="33"/>
    </row>
    <row r="39" customFormat="false" ht="15" hidden="false" customHeight="false" outlineLevel="0" collapsed="false">
      <c r="A39" s="33"/>
      <c r="B39" s="33"/>
      <c r="C39" s="33"/>
      <c r="D39" s="37"/>
      <c r="E39" s="33"/>
      <c r="F39" s="40"/>
      <c r="G39" s="41" t="str">
        <f aca="false">IF($F39="","",$F39+365)</f>
        <v/>
      </c>
      <c r="H39" s="33"/>
    </row>
    <row r="40" customFormat="false" ht="15" hidden="false" customHeight="false" outlineLevel="0" collapsed="false">
      <c r="A40" s="33"/>
      <c r="B40" s="33"/>
      <c r="C40" s="33"/>
      <c r="D40" s="37"/>
      <c r="E40" s="33"/>
      <c r="F40" s="40"/>
      <c r="G40" s="41" t="str">
        <f aca="false">IF($F40="","",$F40+365)</f>
        <v/>
      </c>
      <c r="H40" s="33"/>
    </row>
    <row r="41" customFormat="false" ht="15" hidden="false" customHeight="false" outlineLevel="0" collapsed="false">
      <c r="A41" s="33"/>
      <c r="B41" s="33"/>
      <c r="C41" s="33"/>
      <c r="D41" s="37"/>
      <c r="E41" s="33"/>
      <c r="F41" s="40"/>
      <c r="G41" s="41" t="str">
        <f aca="false">IF($F41="","",$F41+365)</f>
        <v/>
      </c>
      <c r="H41" s="33"/>
    </row>
    <row r="42" customFormat="false" ht="15" hidden="false" customHeight="false" outlineLevel="0" collapsed="false">
      <c r="A42" s="33"/>
      <c r="B42" s="33"/>
      <c r="C42" s="33"/>
      <c r="D42" s="37"/>
      <c r="E42" s="33"/>
      <c r="F42" s="40"/>
      <c r="G42" s="41" t="str">
        <f aca="false">IF($F42="","",$F42+365)</f>
        <v/>
      </c>
      <c r="H42" s="33"/>
    </row>
    <row r="43" customFormat="false" ht="15" hidden="false" customHeight="false" outlineLevel="0" collapsed="false">
      <c r="A43" s="33"/>
      <c r="B43" s="33"/>
      <c r="C43" s="33"/>
      <c r="D43" s="37"/>
      <c r="E43" s="33"/>
      <c r="F43" s="40"/>
      <c r="G43" s="41" t="str">
        <f aca="false">IF($F43="","",$F43+365)</f>
        <v/>
      </c>
      <c r="H43" s="33"/>
    </row>
    <row r="44" customFormat="false" ht="15" hidden="false" customHeight="false" outlineLevel="0" collapsed="false">
      <c r="A44" s="33"/>
      <c r="B44" s="33"/>
      <c r="C44" s="33"/>
      <c r="D44" s="37"/>
      <c r="E44" s="33"/>
      <c r="F44" s="40"/>
      <c r="G44" s="41" t="str">
        <f aca="false">IF($F44="","",$F44+365)</f>
        <v/>
      </c>
      <c r="H44" s="33"/>
    </row>
    <row r="45" customFormat="false" ht="15" hidden="false" customHeight="false" outlineLevel="0" collapsed="false">
      <c r="A45" s="33"/>
      <c r="B45" s="33"/>
      <c r="C45" s="33"/>
      <c r="D45" s="37"/>
      <c r="E45" s="33"/>
      <c r="F45" s="40"/>
      <c r="G45" s="41" t="str">
        <f aca="false">IF($F45="","",$F45+365)</f>
        <v/>
      </c>
      <c r="H45" s="33"/>
    </row>
    <row r="46" customFormat="false" ht="15" hidden="false" customHeight="false" outlineLevel="0" collapsed="false">
      <c r="A46" s="33"/>
      <c r="B46" s="33"/>
      <c r="C46" s="33"/>
      <c r="D46" s="37"/>
      <c r="E46" s="33"/>
      <c r="F46" s="40"/>
      <c r="G46" s="41" t="str">
        <f aca="false">IF($F46="","",$F46+365)</f>
        <v/>
      </c>
      <c r="H46" s="33"/>
    </row>
    <row r="47" customFormat="false" ht="15" hidden="false" customHeight="false" outlineLevel="0" collapsed="false">
      <c r="A47" s="33"/>
      <c r="B47" s="33"/>
      <c r="C47" s="33"/>
      <c r="D47" s="37"/>
      <c r="E47" s="33"/>
      <c r="F47" s="40"/>
      <c r="G47" s="41" t="str">
        <f aca="false">IF($F47="","",$F47+365)</f>
        <v/>
      </c>
      <c r="H47" s="33"/>
    </row>
    <row r="48" customFormat="false" ht="15" hidden="false" customHeight="false" outlineLevel="0" collapsed="false">
      <c r="A48" s="33"/>
      <c r="B48" s="33"/>
      <c r="C48" s="33"/>
      <c r="D48" s="37"/>
      <c r="E48" s="33"/>
      <c r="F48" s="40"/>
      <c r="G48" s="41" t="str">
        <f aca="false">IF($F48="","",$F48+365)</f>
        <v/>
      </c>
      <c r="H48" s="33"/>
    </row>
    <row r="49" customFormat="false" ht="15" hidden="false" customHeight="false" outlineLevel="0" collapsed="false">
      <c r="A49" s="33"/>
      <c r="B49" s="33"/>
      <c r="C49" s="33"/>
      <c r="D49" s="37"/>
      <c r="E49" s="33"/>
      <c r="F49" s="40"/>
      <c r="G49" s="41" t="str">
        <f aca="false">IF($F49="","",$F49+365)</f>
        <v/>
      </c>
      <c r="H49" s="33"/>
    </row>
    <row r="50" customFormat="false" ht="15" hidden="false" customHeight="false" outlineLevel="0" collapsed="false">
      <c r="A50" s="33"/>
      <c r="B50" s="33"/>
      <c r="C50" s="33"/>
      <c r="D50" s="37"/>
      <c r="E50" s="33"/>
      <c r="F50" s="40"/>
      <c r="G50" s="41" t="str">
        <f aca="false">IF($F50="","",$F50+365)</f>
        <v/>
      </c>
      <c r="H50" s="33"/>
    </row>
    <row r="51" customFormat="false" ht="15" hidden="false" customHeight="false" outlineLevel="0" collapsed="false">
      <c r="A51" s="33"/>
      <c r="B51" s="33"/>
      <c r="C51" s="33"/>
      <c r="D51" s="37"/>
      <c r="E51" s="33"/>
      <c r="F51" s="40"/>
      <c r="G51" s="41" t="str">
        <f aca="false">IF($F51="","",$F51+365)</f>
        <v/>
      </c>
      <c r="H51" s="33"/>
    </row>
    <row r="52" customFormat="false" ht="15" hidden="false" customHeight="false" outlineLevel="0" collapsed="false">
      <c r="A52" s="33"/>
      <c r="B52" s="33"/>
      <c r="C52" s="33"/>
      <c r="D52" s="37"/>
      <c r="E52" s="33"/>
      <c r="F52" s="40"/>
      <c r="G52" s="41" t="str">
        <f aca="false">IF($F52="","",$F52+365)</f>
        <v/>
      </c>
      <c r="H52" s="33"/>
    </row>
    <row r="53" customFormat="false" ht="15" hidden="false" customHeight="false" outlineLevel="0" collapsed="false">
      <c r="A53" s="33"/>
      <c r="B53" s="33"/>
      <c r="C53" s="33"/>
      <c r="D53" s="37"/>
      <c r="E53" s="33"/>
      <c r="F53" s="40"/>
      <c r="G53" s="41" t="str">
        <f aca="false">IF($F53="","",$F53+365)</f>
        <v/>
      </c>
      <c r="H53" s="33"/>
    </row>
    <row r="54" customFormat="false" ht="15" hidden="false" customHeight="false" outlineLevel="0" collapsed="false">
      <c r="A54" s="33"/>
      <c r="B54" s="33"/>
      <c r="C54" s="33"/>
      <c r="D54" s="37"/>
      <c r="E54" s="33"/>
      <c r="F54" s="40"/>
      <c r="G54" s="41" t="str">
        <f aca="false">IF($F54="","",$F54+365)</f>
        <v/>
      </c>
      <c r="H54" s="33"/>
    </row>
    <row r="55" customFormat="false" ht="15" hidden="false" customHeight="false" outlineLevel="0" collapsed="false">
      <c r="A55" s="33"/>
      <c r="B55" s="33"/>
      <c r="C55" s="33"/>
      <c r="D55" s="37"/>
      <c r="E55" s="33"/>
      <c r="F55" s="40"/>
      <c r="G55" s="41" t="str">
        <f aca="false">IF($F55="","",$F55+365)</f>
        <v/>
      </c>
      <c r="H55" s="33"/>
    </row>
    <row r="56" customFormat="false" ht="15" hidden="false" customHeight="false" outlineLevel="0" collapsed="false">
      <c r="A56" s="33"/>
      <c r="B56" s="33"/>
      <c r="C56" s="33"/>
      <c r="D56" s="37"/>
      <c r="E56" s="33"/>
      <c r="F56" s="40"/>
      <c r="G56" s="41" t="str">
        <f aca="false">IF($F56="","",$F56+365)</f>
        <v/>
      </c>
      <c r="H56" s="33"/>
    </row>
    <row r="57" customFormat="false" ht="15" hidden="false" customHeight="false" outlineLevel="0" collapsed="false">
      <c r="A57" s="33"/>
      <c r="B57" s="33"/>
      <c r="C57" s="33"/>
      <c r="D57" s="37"/>
      <c r="E57" s="33"/>
      <c r="F57" s="40"/>
      <c r="G57" s="41" t="str">
        <f aca="false">IF($F57="","",$F57+365)</f>
        <v/>
      </c>
      <c r="H57" s="33"/>
    </row>
    <row r="58" customFormat="false" ht="15" hidden="false" customHeight="false" outlineLevel="0" collapsed="false">
      <c r="A58" s="33"/>
      <c r="B58" s="33"/>
      <c r="C58" s="33"/>
      <c r="D58" s="37"/>
      <c r="E58" s="33"/>
      <c r="F58" s="40"/>
      <c r="G58" s="41" t="str">
        <f aca="false">IF($F58="","",$F58+365)</f>
        <v/>
      </c>
      <c r="H58" s="33"/>
    </row>
    <row r="59" customFormat="false" ht="15" hidden="false" customHeight="false" outlineLevel="0" collapsed="false">
      <c r="A59" s="33"/>
      <c r="B59" s="33"/>
      <c r="C59" s="33"/>
      <c r="D59" s="37"/>
      <c r="E59" s="33"/>
      <c r="F59" s="40"/>
      <c r="G59" s="41" t="str">
        <f aca="false">IF($F59="","",$F59+365)</f>
        <v/>
      </c>
      <c r="H59" s="33"/>
    </row>
    <row r="60" customFormat="false" ht="15" hidden="false" customHeight="false" outlineLevel="0" collapsed="false">
      <c r="A60" s="33"/>
      <c r="B60" s="33"/>
      <c r="C60" s="33"/>
      <c r="D60" s="37"/>
      <c r="E60" s="33"/>
      <c r="F60" s="40"/>
      <c r="G60" s="41" t="str">
        <f aca="false">IF($F60="","",$F60+365)</f>
        <v/>
      </c>
      <c r="H60" s="33"/>
    </row>
    <row r="61" customFormat="false" ht="15" hidden="false" customHeight="false" outlineLevel="0" collapsed="false">
      <c r="A61" s="33"/>
      <c r="B61" s="33"/>
      <c r="C61" s="33"/>
      <c r="D61" s="37"/>
      <c r="E61" s="33"/>
      <c r="F61" s="40"/>
      <c r="G61" s="41" t="str">
        <f aca="false">IF($F61="","",$F61+365)</f>
        <v/>
      </c>
      <c r="H61" s="33"/>
    </row>
    <row r="62" customFormat="false" ht="15" hidden="false" customHeight="false" outlineLevel="0" collapsed="false">
      <c r="A62" s="33"/>
      <c r="B62" s="33"/>
      <c r="C62" s="33"/>
      <c r="D62" s="37"/>
      <c r="E62" s="33"/>
      <c r="F62" s="40"/>
      <c r="G62" s="41" t="str">
        <f aca="false">IF($F62="","",$F62+365)</f>
        <v/>
      </c>
      <c r="H62" s="33"/>
    </row>
    <row r="63" customFormat="false" ht="15" hidden="false" customHeight="false" outlineLevel="0" collapsed="false">
      <c r="A63" s="33"/>
      <c r="B63" s="33"/>
      <c r="C63" s="33"/>
      <c r="D63" s="37"/>
      <c r="E63" s="33"/>
      <c r="F63" s="40"/>
      <c r="G63" s="41" t="str">
        <f aca="false">IF($F63="","",$F63+365)</f>
        <v/>
      </c>
      <c r="H63" s="33"/>
    </row>
    <row r="64" customFormat="false" ht="15" hidden="false" customHeight="false" outlineLevel="0" collapsed="false">
      <c r="A64" s="33"/>
      <c r="B64" s="33"/>
      <c r="C64" s="33"/>
      <c r="D64" s="37"/>
      <c r="E64" s="33"/>
      <c r="F64" s="40"/>
      <c r="G64" s="41" t="str">
        <f aca="false">IF($F64="","",$F64+365)</f>
        <v/>
      </c>
      <c r="H64" s="33"/>
    </row>
    <row r="65" customFormat="false" ht="15" hidden="false" customHeight="false" outlineLevel="0" collapsed="false">
      <c r="A65" s="33"/>
      <c r="B65" s="33"/>
      <c r="C65" s="33"/>
      <c r="D65" s="37"/>
      <c r="E65" s="33"/>
      <c r="F65" s="40"/>
      <c r="G65" s="41" t="str">
        <f aca="false">IF($F65="","",$F65+365)</f>
        <v/>
      </c>
      <c r="H65" s="33"/>
    </row>
    <row r="66" customFormat="false" ht="15" hidden="false" customHeight="false" outlineLevel="0" collapsed="false">
      <c r="A66" s="33"/>
      <c r="B66" s="33"/>
      <c r="C66" s="33"/>
      <c r="D66" s="37"/>
      <c r="E66" s="33"/>
      <c r="F66" s="40"/>
      <c r="G66" s="41" t="str">
        <f aca="false">IF($F66="","",$F66+365)</f>
        <v/>
      </c>
      <c r="H66" s="33"/>
    </row>
    <row r="67" customFormat="false" ht="15" hidden="false" customHeight="false" outlineLevel="0" collapsed="false">
      <c r="A67" s="33"/>
      <c r="B67" s="33"/>
      <c r="C67" s="33"/>
      <c r="D67" s="37"/>
      <c r="E67" s="33"/>
      <c r="F67" s="40"/>
      <c r="G67" s="41" t="str">
        <f aca="false">IF($F67="","",$F67+365)</f>
        <v/>
      </c>
      <c r="H67" s="33"/>
    </row>
    <row r="68" customFormat="false" ht="15" hidden="false" customHeight="false" outlineLevel="0" collapsed="false">
      <c r="A68" s="33"/>
      <c r="B68" s="33"/>
      <c r="C68" s="33"/>
      <c r="D68" s="37"/>
      <c r="E68" s="33"/>
      <c r="F68" s="40"/>
      <c r="G68" s="41" t="str">
        <f aca="false">IF($F68="","",$F68+365)</f>
        <v/>
      </c>
      <c r="H68" s="33"/>
    </row>
    <row r="69" customFormat="false" ht="15" hidden="false" customHeight="false" outlineLevel="0" collapsed="false">
      <c r="A69" s="33"/>
      <c r="B69" s="33"/>
      <c r="C69" s="33"/>
      <c r="D69" s="37"/>
      <c r="E69" s="33"/>
      <c r="F69" s="40"/>
      <c r="G69" s="41" t="str">
        <f aca="false">IF($F69="","",$F69+365)</f>
        <v/>
      </c>
      <c r="H69" s="33"/>
    </row>
    <row r="70" customFormat="false" ht="15" hidden="false" customHeight="false" outlineLevel="0" collapsed="false">
      <c r="A70" s="33"/>
      <c r="B70" s="33"/>
      <c r="C70" s="33"/>
      <c r="D70" s="37"/>
      <c r="E70" s="33"/>
      <c r="F70" s="40"/>
      <c r="G70" s="41" t="str">
        <f aca="false">IF($F70="","",$F70+365)</f>
        <v/>
      </c>
      <c r="H70" s="33"/>
    </row>
    <row r="71" customFormat="false" ht="15" hidden="false" customHeight="false" outlineLevel="0" collapsed="false">
      <c r="A71" s="33"/>
      <c r="B71" s="33"/>
      <c r="C71" s="33"/>
      <c r="D71" s="37"/>
      <c r="E71" s="33"/>
      <c r="F71" s="40"/>
      <c r="G71" s="41" t="str">
        <f aca="false">IF($F71="","",$F71+365)</f>
        <v/>
      </c>
      <c r="H71" s="33"/>
    </row>
    <row r="72" customFormat="false" ht="15" hidden="false" customHeight="false" outlineLevel="0" collapsed="false">
      <c r="A72" s="33"/>
      <c r="B72" s="33"/>
      <c r="C72" s="33"/>
      <c r="D72" s="37"/>
      <c r="E72" s="33"/>
      <c r="F72" s="40"/>
      <c r="G72" s="41" t="str">
        <f aca="false">IF($F72="","",$F72+365)</f>
        <v/>
      </c>
      <c r="H72" s="33"/>
    </row>
    <row r="73" customFormat="false" ht="15" hidden="false" customHeight="false" outlineLevel="0" collapsed="false">
      <c r="A73" s="33"/>
      <c r="B73" s="33"/>
      <c r="C73" s="33"/>
      <c r="D73" s="37"/>
      <c r="E73" s="33"/>
      <c r="F73" s="40"/>
      <c r="G73" s="41" t="str">
        <f aca="false">IF($F73="","",$F73+365)</f>
        <v/>
      </c>
      <c r="H73" s="33"/>
    </row>
    <row r="74" customFormat="false" ht="15" hidden="false" customHeight="false" outlineLevel="0" collapsed="false">
      <c r="A74" s="33"/>
      <c r="B74" s="33"/>
      <c r="C74" s="33"/>
      <c r="D74" s="37"/>
      <c r="E74" s="33"/>
      <c r="F74" s="40"/>
      <c r="G74" s="41" t="str">
        <f aca="false">IF($F74="","",$F74+365)</f>
        <v/>
      </c>
      <c r="H74" s="33"/>
    </row>
    <row r="75" customFormat="false" ht="15" hidden="false" customHeight="false" outlineLevel="0" collapsed="false">
      <c r="A75" s="33"/>
      <c r="B75" s="33"/>
      <c r="C75" s="33"/>
      <c r="D75" s="37"/>
      <c r="E75" s="33"/>
      <c r="F75" s="40"/>
      <c r="G75" s="41" t="str">
        <f aca="false">IF($F75="","",$F75+365)</f>
        <v/>
      </c>
      <c r="H75" s="33"/>
    </row>
    <row r="76" customFormat="false" ht="15" hidden="false" customHeight="false" outlineLevel="0" collapsed="false">
      <c r="A76" s="33"/>
      <c r="B76" s="33"/>
      <c r="C76" s="33"/>
      <c r="D76" s="37"/>
      <c r="E76" s="33"/>
      <c r="F76" s="40"/>
      <c r="G76" s="41" t="str">
        <f aca="false">IF($F76="","",$F76+365)</f>
        <v/>
      </c>
      <c r="H76" s="33"/>
    </row>
    <row r="77" customFormat="false" ht="15" hidden="false" customHeight="false" outlineLevel="0" collapsed="false">
      <c r="A77" s="33"/>
      <c r="B77" s="33"/>
      <c r="C77" s="33"/>
      <c r="D77" s="37"/>
      <c r="E77" s="33"/>
      <c r="F77" s="40"/>
      <c r="G77" s="41" t="str">
        <f aca="false">IF($F77="","",$F77+365)</f>
        <v/>
      </c>
      <c r="H77" s="33"/>
    </row>
    <row r="78" customFormat="false" ht="15" hidden="false" customHeight="false" outlineLevel="0" collapsed="false">
      <c r="A78" s="33"/>
      <c r="B78" s="33"/>
      <c r="C78" s="33"/>
      <c r="D78" s="37"/>
      <c r="E78" s="33"/>
      <c r="F78" s="40"/>
      <c r="G78" s="41" t="str">
        <f aca="false">IF($F78="","",$F78+365)</f>
        <v/>
      </c>
      <c r="H78" s="33"/>
    </row>
    <row r="79" customFormat="false" ht="15" hidden="false" customHeight="false" outlineLevel="0" collapsed="false">
      <c r="A79" s="33"/>
      <c r="B79" s="33"/>
      <c r="C79" s="33"/>
      <c r="D79" s="37"/>
      <c r="E79" s="33"/>
      <c r="F79" s="40"/>
      <c r="G79" s="41" t="str">
        <f aca="false">IF($F79="","",$F79+365)</f>
        <v/>
      </c>
      <c r="H79" s="33"/>
    </row>
    <row r="80" customFormat="false" ht="15" hidden="false" customHeight="false" outlineLevel="0" collapsed="false">
      <c r="A80" s="33"/>
      <c r="B80" s="33"/>
      <c r="C80" s="33"/>
      <c r="D80" s="37"/>
      <c r="E80" s="33"/>
      <c r="F80" s="40"/>
      <c r="G80" s="41" t="str">
        <f aca="false">IF($F80="","",$F80+365)</f>
        <v/>
      </c>
      <c r="H80" s="33"/>
    </row>
    <row r="81" customFormat="false" ht="15" hidden="false" customHeight="false" outlineLevel="0" collapsed="false">
      <c r="A81" s="33"/>
      <c r="B81" s="33"/>
      <c r="C81" s="33"/>
      <c r="D81" s="37"/>
      <c r="E81" s="33"/>
      <c r="F81" s="40"/>
      <c r="G81" s="41" t="str">
        <f aca="false">IF($F81="","",$F81+365)</f>
        <v/>
      </c>
      <c r="H81" s="33"/>
    </row>
    <row r="82" customFormat="false" ht="15" hidden="false" customHeight="false" outlineLevel="0" collapsed="false">
      <c r="A82" s="33"/>
      <c r="B82" s="33"/>
      <c r="C82" s="33"/>
      <c r="D82" s="37"/>
      <c r="E82" s="33"/>
      <c r="F82" s="40"/>
      <c r="G82" s="41" t="str">
        <f aca="false">IF($F82="","",$F82+365)</f>
        <v/>
      </c>
      <c r="H82" s="33"/>
    </row>
    <row r="83" customFormat="false" ht="15" hidden="false" customHeight="false" outlineLevel="0" collapsed="false">
      <c r="A83" s="33"/>
      <c r="B83" s="33"/>
      <c r="C83" s="33"/>
      <c r="D83" s="37"/>
      <c r="E83" s="33"/>
      <c r="F83" s="40"/>
      <c r="G83" s="41" t="str">
        <f aca="false">IF($F83="","",$F83+365)</f>
        <v/>
      </c>
      <c r="H83" s="33"/>
    </row>
    <row r="84" customFormat="false" ht="15" hidden="false" customHeight="false" outlineLevel="0" collapsed="false">
      <c r="A84" s="33"/>
      <c r="B84" s="33"/>
      <c r="C84" s="33"/>
      <c r="D84" s="37"/>
      <c r="E84" s="33"/>
      <c r="F84" s="40"/>
      <c r="G84" s="41" t="str">
        <f aca="false">IF($F84="","",$F84+365)</f>
        <v/>
      </c>
      <c r="H84" s="33"/>
    </row>
    <row r="85" customFormat="false" ht="15" hidden="false" customHeight="false" outlineLevel="0" collapsed="false">
      <c r="A85" s="33"/>
      <c r="B85" s="33"/>
      <c r="C85" s="33"/>
      <c r="D85" s="37"/>
      <c r="E85" s="33"/>
      <c r="F85" s="40"/>
      <c r="G85" s="41" t="str">
        <f aca="false">IF($F85="","",$F85+365)</f>
        <v/>
      </c>
      <c r="H85" s="33"/>
    </row>
    <row r="86" customFormat="false" ht="15" hidden="false" customHeight="false" outlineLevel="0" collapsed="false">
      <c r="A86" s="33"/>
      <c r="B86" s="33"/>
      <c r="C86" s="33"/>
      <c r="D86" s="37"/>
      <c r="E86" s="33"/>
      <c r="F86" s="40"/>
      <c r="G86" s="41" t="str">
        <f aca="false">IF($F86="","",$F86+365)</f>
        <v/>
      </c>
      <c r="H86" s="33"/>
    </row>
    <row r="87" customFormat="false" ht="15" hidden="false" customHeight="false" outlineLevel="0" collapsed="false">
      <c r="A87" s="33"/>
      <c r="B87" s="33"/>
      <c r="C87" s="33"/>
      <c r="D87" s="37"/>
      <c r="E87" s="33"/>
      <c r="F87" s="40"/>
      <c r="G87" s="41" t="str">
        <f aca="false">IF($F87="","",$F87+365)</f>
        <v/>
      </c>
      <c r="H87" s="33"/>
    </row>
    <row r="88" customFormat="false" ht="15" hidden="false" customHeight="false" outlineLevel="0" collapsed="false">
      <c r="A88" s="33"/>
      <c r="B88" s="33"/>
      <c r="C88" s="33"/>
      <c r="D88" s="37"/>
      <c r="E88" s="33"/>
      <c r="F88" s="40"/>
      <c r="G88" s="41" t="str">
        <f aca="false">IF($F88="","",$F88+365)</f>
        <v/>
      </c>
      <c r="H88" s="33"/>
    </row>
    <row r="89" customFormat="false" ht="15" hidden="false" customHeight="false" outlineLevel="0" collapsed="false">
      <c r="A89" s="33"/>
      <c r="B89" s="33"/>
      <c r="C89" s="33"/>
      <c r="D89" s="37"/>
      <c r="E89" s="33"/>
      <c r="F89" s="40"/>
      <c r="G89" s="41" t="str">
        <f aca="false">IF($F89="","",$F89+365)</f>
        <v/>
      </c>
      <c r="H89" s="33"/>
    </row>
    <row r="90" customFormat="false" ht="15" hidden="false" customHeight="false" outlineLevel="0" collapsed="false">
      <c r="A90" s="33"/>
      <c r="B90" s="33"/>
      <c r="C90" s="33"/>
      <c r="D90" s="37"/>
      <c r="E90" s="33"/>
      <c r="F90" s="40"/>
      <c r="G90" s="41" t="str">
        <f aca="false">IF($F90="","",$F90+365)</f>
        <v/>
      </c>
      <c r="H90" s="33"/>
    </row>
    <row r="91" customFormat="false" ht="15" hidden="false" customHeight="false" outlineLevel="0" collapsed="false">
      <c r="A91" s="33"/>
      <c r="B91" s="33"/>
      <c r="C91" s="33"/>
      <c r="D91" s="37"/>
      <c r="E91" s="33"/>
      <c r="F91" s="40"/>
      <c r="G91" s="41" t="str">
        <f aca="false">IF($F91="","",$F91+365)</f>
        <v/>
      </c>
      <c r="H91" s="33"/>
    </row>
    <row r="92" customFormat="false" ht="15" hidden="false" customHeight="false" outlineLevel="0" collapsed="false">
      <c r="A92" s="33"/>
      <c r="B92" s="33"/>
      <c r="C92" s="33"/>
      <c r="D92" s="37"/>
      <c r="E92" s="33"/>
      <c r="F92" s="40"/>
      <c r="G92" s="41" t="str">
        <f aca="false">IF($F92="","",$F92+365)</f>
        <v/>
      </c>
      <c r="H92" s="33"/>
    </row>
    <row r="93" customFormat="false" ht="15" hidden="false" customHeight="false" outlineLevel="0" collapsed="false">
      <c r="A93" s="33"/>
      <c r="B93" s="33"/>
      <c r="C93" s="33"/>
      <c r="D93" s="37"/>
      <c r="E93" s="33"/>
      <c r="F93" s="40"/>
      <c r="G93" s="41" t="str">
        <f aca="false">IF($F93="","",$F93+365)</f>
        <v/>
      </c>
      <c r="H93" s="33"/>
    </row>
    <row r="94" customFormat="false" ht="15" hidden="false" customHeight="false" outlineLevel="0" collapsed="false">
      <c r="A94" s="33"/>
      <c r="B94" s="33"/>
      <c r="C94" s="33"/>
      <c r="D94" s="37"/>
      <c r="E94" s="33"/>
      <c r="F94" s="40"/>
      <c r="G94" s="41" t="str">
        <f aca="false">IF($F94="","",$F94+365)</f>
        <v/>
      </c>
      <c r="H94" s="33"/>
    </row>
    <row r="95" customFormat="false" ht="15" hidden="false" customHeight="false" outlineLevel="0" collapsed="false">
      <c r="A95" s="33"/>
      <c r="B95" s="33"/>
      <c r="C95" s="33"/>
      <c r="D95" s="37"/>
      <c r="E95" s="33"/>
      <c r="F95" s="40"/>
      <c r="G95" s="41" t="str">
        <f aca="false">IF($F95="","",$F95+365)</f>
        <v/>
      </c>
      <c r="H95" s="33"/>
    </row>
    <row r="96" customFormat="false" ht="15" hidden="false" customHeight="false" outlineLevel="0" collapsed="false">
      <c r="A96" s="33"/>
      <c r="B96" s="33"/>
      <c r="C96" s="33"/>
      <c r="D96" s="37"/>
      <c r="E96" s="33"/>
      <c r="F96" s="40"/>
      <c r="G96" s="41" t="str">
        <f aca="false">IF($F96="","",$F96+365)</f>
        <v/>
      </c>
      <c r="H96" s="33"/>
    </row>
    <row r="97" customFormat="false" ht="15" hidden="false" customHeight="false" outlineLevel="0" collapsed="false">
      <c r="A97" s="33"/>
      <c r="B97" s="33"/>
      <c r="C97" s="33"/>
      <c r="D97" s="37"/>
      <c r="E97" s="33"/>
      <c r="F97" s="40"/>
      <c r="G97" s="41" t="str">
        <f aca="false">IF($F97="","",$F97+365)</f>
        <v/>
      </c>
      <c r="H97" s="33"/>
    </row>
    <row r="98" customFormat="false" ht="15" hidden="false" customHeight="false" outlineLevel="0" collapsed="false">
      <c r="A98" s="33"/>
      <c r="B98" s="33"/>
      <c r="C98" s="33"/>
      <c r="D98" s="37"/>
      <c r="E98" s="33"/>
      <c r="F98" s="40"/>
      <c r="G98" s="41" t="str">
        <f aca="false">IF($F98="","",$F98+365)</f>
        <v/>
      </c>
      <c r="H98" s="33"/>
    </row>
    <row r="99" customFormat="false" ht="15" hidden="false" customHeight="false" outlineLevel="0" collapsed="false">
      <c r="A99" s="33"/>
      <c r="B99" s="33"/>
      <c r="C99" s="33"/>
      <c r="D99" s="37"/>
      <c r="E99" s="33"/>
      <c r="F99" s="40"/>
      <c r="G99" s="41" t="str">
        <f aca="false">IF($F99="","",$F99+365)</f>
        <v/>
      </c>
      <c r="H99" s="33"/>
    </row>
    <row r="100" customFormat="false" ht="15" hidden="false" customHeight="false" outlineLevel="0" collapsed="false">
      <c r="A100" s="33"/>
      <c r="B100" s="33"/>
      <c r="C100" s="33"/>
      <c r="D100" s="37"/>
      <c r="E100" s="33"/>
      <c r="F100" s="40"/>
      <c r="G100" s="41" t="str">
        <f aca="false">IF($F100="","",$F100+365)</f>
        <v/>
      </c>
      <c r="H100" s="33"/>
    </row>
    <row r="101" customFormat="false" ht="15" hidden="false" customHeight="false" outlineLevel="0" collapsed="false">
      <c r="A101" s="33"/>
      <c r="B101" s="33"/>
      <c r="C101" s="33"/>
      <c r="D101" s="37"/>
      <c r="E101" s="33"/>
      <c r="F101" s="40"/>
      <c r="G101" s="41" t="str">
        <f aca="false">IF($F101="","",$F101+365)</f>
        <v/>
      </c>
      <c r="H101" s="33"/>
    </row>
    <row r="102" customFormat="false" ht="15" hidden="false" customHeight="false" outlineLevel="0" collapsed="false">
      <c r="A102" s="33"/>
      <c r="B102" s="33"/>
      <c r="C102" s="33"/>
      <c r="D102" s="37"/>
      <c r="E102" s="33"/>
      <c r="F102" s="40"/>
      <c r="G102" s="41" t="str">
        <f aca="false">IF($F102="","",$F102+365)</f>
        <v/>
      </c>
      <c r="H102" s="33"/>
    </row>
    <row r="103" customFormat="false" ht="15" hidden="false" customHeight="false" outlineLevel="0" collapsed="false">
      <c r="A103" s="33"/>
      <c r="B103" s="33"/>
      <c r="C103" s="33"/>
      <c r="D103" s="37"/>
      <c r="E103" s="33"/>
      <c r="F103" s="40"/>
      <c r="G103" s="41" t="str">
        <f aca="false">IF($F103="","",$F103+365)</f>
        <v/>
      </c>
      <c r="H103" s="33"/>
    </row>
    <row r="104" customFormat="false" ht="15" hidden="false" customHeight="false" outlineLevel="0" collapsed="false">
      <c r="A104" s="33"/>
      <c r="B104" s="33"/>
      <c r="C104" s="33"/>
      <c r="D104" s="37"/>
      <c r="E104" s="33"/>
      <c r="F104" s="40"/>
      <c r="G104" s="41" t="str">
        <f aca="false">IF($F104="","",$F104+365)</f>
        <v/>
      </c>
      <c r="H104" s="33"/>
    </row>
    <row r="105" customFormat="false" ht="15" hidden="false" customHeight="false" outlineLevel="0" collapsed="false">
      <c r="A105" s="33"/>
      <c r="B105" s="33"/>
      <c r="C105" s="33"/>
      <c r="D105" s="37"/>
      <c r="E105" s="33"/>
      <c r="F105" s="40"/>
      <c r="G105" s="41" t="str">
        <f aca="false">IF($F105="","",$F105+365)</f>
        <v/>
      </c>
      <c r="H105" s="33"/>
    </row>
    <row r="106" customFormat="false" ht="15" hidden="false" customHeight="false" outlineLevel="0" collapsed="false">
      <c r="A106" s="33"/>
      <c r="B106" s="33"/>
      <c r="C106" s="33"/>
      <c r="D106" s="37"/>
      <c r="E106" s="33"/>
      <c r="F106" s="40"/>
      <c r="G106" s="41" t="str">
        <f aca="false">IF($F106="","",$F106+365)</f>
        <v/>
      </c>
      <c r="H106" s="33"/>
    </row>
    <row r="107" customFormat="false" ht="15" hidden="false" customHeight="false" outlineLevel="0" collapsed="false">
      <c r="A107" s="33"/>
      <c r="B107" s="33"/>
      <c r="C107" s="33"/>
      <c r="D107" s="37"/>
      <c r="E107" s="33"/>
      <c r="F107" s="40"/>
      <c r="G107" s="41" t="str">
        <f aca="false">IF($F107="","",$F107+365)</f>
        <v/>
      </c>
      <c r="H107" s="33"/>
    </row>
    <row r="108" customFormat="false" ht="15" hidden="false" customHeight="false" outlineLevel="0" collapsed="false">
      <c r="A108" s="33"/>
      <c r="B108" s="33"/>
      <c r="C108" s="33"/>
      <c r="D108" s="37"/>
      <c r="E108" s="33"/>
      <c r="F108" s="40"/>
      <c r="G108" s="41" t="str">
        <f aca="false">IF($F108="","",$F108+365)</f>
        <v/>
      </c>
      <c r="H108" s="33"/>
    </row>
    <row r="109" customFormat="false" ht="15" hidden="false" customHeight="false" outlineLevel="0" collapsed="false">
      <c r="A109" s="33"/>
      <c r="B109" s="33"/>
      <c r="C109" s="33"/>
      <c r="D109" s="37"/>
      <c r="E109" s="33"/>
      <c r="F109" s="40"/>
      <c r="G109" s="41" t="str">
        <f aca="false">IF($F109="","",$F109+365)</f>
        <v/>
      </c>
      <c r="H109" s="33"/>
    </row>
    <row r="110" customFormat="false" ht="15" hidden="false" customHeight="false" outlineLevel="0" collapsed="false">
      <c r="A110" s="33"/>
      <c r="B110" s="33"/>
      <c r="C110" s="33"/>
      <c r="D110" s="37"/>
      <c r="E110" s="33"/>
      <c r="F110" s="40"/>
      <c r="G110" s="41" t="str">
        <f aca="false">IF($F110="","",$F110+365)</f>
        <v/>
      </c>
      <c r="H110" s="33"/>
    </row>
    <row r="111" customFormat="false" ht="15" hidden="false" customHeight="false" outlineLevel="0" collapsed="false">
      <c r="A111" s="33"/>
      <c r="B111" s="33"/>
      <c r="C111" s="33"/>
      <c r="D111" s="37"/>
      <c r="E111" s="33"/>
      <c r="F111" s="40"/>
      <c r="G111" s="41" t="str">
        <f aca="false">IF($F111="","",$F111+365)</f>
        <v/>
      </c>
      <c r="H111" s="33"/>
    </row>
    <row r="112" customFormat="false" ht="15" hidden="false" customHeight="false" outlineLevel="0" collapsed="false">
      <c r="A112" s="33"/>
      <c r="B112" s="33"/>
      <c r="C112" s="33"/>
      <c r="D112" s="37"/>
      <c r="E112" s="33"/>
      <c r="F112" s="40"/>
      <c r="G112" s="41" t="str">
        <f aca="false">IF($F112="","",$F112+365)</f>
        <v/>
      </c>
      <c r="H112" s="33"/>
    </row>
    <row r="113" customFormat="false" ht="15" hidden="false" customHeight="false" outlineLevel="0" collapsed="false">
      <c r="A113" s="33"/>
      <c r="B113" s="33"/>
      <c r="C113" s="33"/>
      <c r="D113" s="37"/>
      <c r="E113" s="33"/>
      <c r="F113" s="40"/>
      <c r="G113" s="41" t="str">
        <f aca="false">IF($F113="","",$F113+365)</f>
        <v/>
      </c>
      <c r="H113" s="33"/>
    </row>
    <row r="114" customFormat="false" ht="15" hidden="false" customHeight="false" outlineLevel="0" collapsed="false">
      <c r="A114" s="33"/>
      <c r="B114" s="33"/>
      <c r="C114" s="33"/>
      <c r="D114" s="37"/>
      <c r="E114" s="33"/>
      <c r="F114" s="40"/>
      <c r="G114" s="41" t="str">
        <f aca="false">IF($F114="","",$F114+365)</f>
        <v/>
      </c>
      <c r="H114" s="33"/>
    </row>
    <row r="115" customFormat="false" ht="15" hidden="false" customHeight="false" outlineLevel="0" collapsed="false">
      <c r="A115" s="33"/>
      <c r="B115" s="33"/>
      <c r="C115" s="33"/>
      <c r="D115" s="37"/>
      <c r="E115" s="33"/>
      <c r="F115" s="40"/>
      <c r="G115" s="41" t="str">
        <f aca="false">IF($F115="","",$F115+365)</f>
        <v/>
      </c>
      <c r="H115" s="33"/>
    </row>
    <row r="116" customFormat="false" ht="15" hidden="false" customHeight="false" outlineLevel="0" collapsed="false">
      <c r="A116" s="33"/>
      <c r="B116" s="33"/>
      <c r="C116" s="33"/>
      <c r="D116" s="37"/>
      <c r="E116" s="33"/>
      <c r="F116" s="40"/>
      <c r="G116" s="41" t="str">
        <f aca="false">IF($F116="","",$F116+365)</f>
        <v/>
      </c>
      <c r="H116" s="33"/>
    </row>
    <row r="117" customFormat="false" ht="15" hidden="false" customHeight="false" outlineLevel="0" collapsed="false">
      <c r="A117" s="33"/>
      <c r="B117" s="33"/>
      <c r="C117" s="33"/>
      <c r="D117" s="37"/>
      <c r="E117" s="33"/>
      <c r="F117" s="40"/>
      <c r="G117" s="41" t="str">
        <f aca="false">IF($F117="","",$F117+365)</f>
        <v/>
      </c>
      <c r="H117" s="33"/>
    </row>
    <row r="118" customFormat="false" ht="15" hidden="false" customHeight="false" outlineLevel="0" collapsed="false">
      <c r="A118" s="33"/>
      <c r="B118" s="33"/>
      <c r="C118" s="33"/>
      <c r="D118" s="37"/>
      <c r="E118" s="33"/>
      <c r="F118" s="40"/>
      <c r="G118" s="41" t="str">
        <f aca="false">IF($F118="","",$F118+365)</f>
        <v/>
      </c>
      <c r="H118" s="33"/>
    </row>
    <row r="119" customFormat="false" ht="15" hidden="false" customHeight="false" outlineLevel="0" collapsed="false">
      <c r="A119" s="33"/>
      <c r="B119" s="33"/>
      <c r="C119" s="33"/>
      <c r="D119" s="37"/>
      <c r="E119" s="33"/>
      <c r="F119" s="40"/>
      <c r="G119" s="41" t="str">
        <f aca="false">IF($F119="","",$F119+365)</f>
        <v/>
      </c>
      <c r="H119" s="33"/>
    </row>
    <row r="120" customFormat="false" ht="15" hidden="false" customHeight="false" outlineLevel="0" collapsed="false">
      <c r="A120" s="33"/>
      <c r="B120" s="33"/>
      <c r="C120" s="33"/>
      <c r="D120" s="37"/>
      <c r="E120" s="33"/>
      <c r="F120" s="40"/>
      <c r="G120" s="41" t="str">
        <f aca="false">IF($F120="","",$F120+365)</f>
        <v/>
      </c>
      <c r="H120" s="33"/>
    </row>
    <row r="121" customFormat="false" ht="15" hidden="false" customHeight="false" outlineLevel="0" collapsed="false">
      <c r="A121" s="33"/>
      <c r="B121" s="33"/>
      <c r="C121" s="33"/>
      <c r="D121" s="37"/>
      <c r="E121" s="33"/>
      <c r="F121" s="40"/>
      <c r="G121" s="41" t="str">
        <f aca="false">IF($F121="","",$F121+365)</f>
        <v/>
      </c>
      <c r="H121" s="33"/>
    </row>
    <row r="122" customFormat="false" ht="15" hidden="false" customHeight="false" outlineLevel="0" collapsed="false">
      <c r="A122" s="33"/>
      <c r="B122" s="33"/>
      <c r="C122" s="33"/>
      <c r="D122" s="37"/>
      <c r="E122" s="33"/>
      <c r="F122" s="40"/>
      <c r="G122" s="41" t="str">
        <f aca="false">IF($F122="","",$F122+365)</f>
        <v/>
      </c>
      <c r="H122" s="33"/>
    </row>
    <row r="123" customFormat="false" ht="15" hidden="false" customHeight="false" outlineLevel="0" collapsed="false">
      <c r="A123" s="33"/>
      <c r="B123" s="33"/>
      <c r="C123" s="33"/>
      <c r="D123" s="37"/>
      <c r="E123" s="33"/>
      <c r="F123" s="40"/>
      <c r="G123" s="41" t="str">
        <f aca="false">IF($F123="","",$F123+365)</f>
        <v/>
      </c>
      <c r="H123" s="33"/>
    </row>
    <row r="124" customFormat="false" ht="15" hidden="false" customHeight="false" outlineLevel="0" collapsed="false">
      <c r="A124" s="33"/>
      <c r="B124" s="33"/>
      <c r="C124" s="33"/>
      <c r="D124" s="37"/>
      <c r="E124" s="33"/>
      <c r="F124" s="40"/>
      <c r="G124" s="41" t="str">
        <f aca="false">IF($F124="","",$F124+365)</f>
        <v/>
      </c>
      <c r="H124" s="33"/>
    </row>
    <row r="125" customFormat="false" ht="15" hidden="false" customHeight="false" outlineLevel="0" collapsed="false">
      <c r="A125" s="33"/>
      <c r="B125" s="33"/>
      <c r="C125" s="33"/>
      <c r="D125" s="37"/>
      <c r="E125" s="33"/>
      <c r="F125" s="40"/>
      <c r="G125" s="41" t="str">
        <f aca="false">IF($F125="","",$F125+365)</f>
        <v/>
      </c>
      <c r="H125" s="33"/>
    </row>
    <row r="126" customFormat="false" ht="15" hidden="false" customHeight="false" outlineLevel="0" collapsed="false">
      <c r="A126" s="33"/>
      <c r="B126" s="33"/>
      <c r="C126" s="33"/>
      <c r="D126" s="37"/>
      <c r="E126" s="33"/>
      <c r="F126" s="40"/>
      <c r="G126" s="41" t="str">
        <f aca="false">IF($F126="","",$F126+365)</f>
        <v/>
      </c>
      <c r="H126" s="33"/>
    </row>
    <row r="127" customFormat="false" ht="15" hidden="false" customHeight="false" outlineLevel="0" collapsed="false">
      <c r="A127" s="33"/>
      <c r="B127" s="33"/>
      <c r="C127" s="33"/>
      <c r="D127" s="37"/>
      <c r="E127" s="33"/>
      <c r="F127" s="40"/>
      <c r="G127" s="41" t="str">
        <f aca="false">IF($F127="","",$F127+365)</f>
        <v/>
      </c>
      <c r="H127" s="33"/>
    </row>
    <row r="128" customFormat="false" ht="15" hidden="false" customHeight="false" outlineLevel="0" collapsed="false">
      <c r="A128" s="33"/>
      <c r="B128" s="33"/>
      <c r="C128" s="33"/>
      <c r="D128" s="37"/>
      <c r="E128" s="33"/>
      <c r="F128" s="40"/>
      <c r="G128" s="41" t="str">
        <f aca="false">IF($F128="","",$F128+365)</f>
        <v/>
      </c>
      <c r="H128" s="33"/>
    </row>
    <row r="129" customFormat="false" ht="15" hidden="false" customHeight="false" outlineLevel="0" collapsed="false">
      <c r="A129" s="33"/>
      <c r="B129" s="33"/>
      <c r="C129" s="33"/>
      <c r="D129" s="37"/>
      <c r="E129" s="33"/>
      <c r="F129" s="40"/>
      <c r="G129" s="41" t="str">
        <f aca="false">IF($F129="","",$F129+365)</f>
        <v/>
      </c>
      <c r="H129" s="33"/>
    </row>
    <row r="130" customFormat="false" ht="15" hidden="false" customHeight="false" outlineLevel="0" collapsed="false">
      <c r="A130" s="33"/>
      <c r="B130" s="33"/>
      <c r="C130" s="33"/>
      <c r="D130" s="37"/>
      <c r="E130" s="33"/>
      <c r="F130" s="40"/>
      <c r="G130" s="41" t="str">
        <f aca="false">IF($F130="","",$F130+365)</f>
        <v/>
      </c>
      <c r="H130" s="33"/>
    </row>
    <row r="131" customFormat="false" ht="15" hidden="false" customHeight="false" outlineLevel="0" collapsed="false">
      <c r="A131" s="33"/>
      <c r="B131" s="33"/>
      <c r="C131" s="33"/>
      <c r="D131" s="37"/>
      <c r="E131" s="33"/>
      <c r="F131" s="40"/>
      <c r="G131" s="41" t="str">
        <f aca="false">IF($F131="","",$F131+365)</f>
        <v/>
      </c>
      <c r="H131" s="33"/>
    </row>
    <row r="132" customFormat="false" ht="15" hidden="false" customHeight="false" outlineLevel="0" collapsed="false">
      <c r="A132" s="33"/>
      <c r="B132" s="33"/>
      <c r="C132" s="33"/>
      <c r="D132" s="37"/>
      <c r="E132" s="33"/>
      <c r="F132" s="40"/>
      <c r="G132" s="41" t="str">
        <f aca="false">IF($F132="","",$F132+365)</f>
        <v/>
      </c>
      <c r="H132" s="33"/>
    </row>
    <row r="133" customFormat="false" ht="15" hidden="false" customHeight="false" outlineLevel="0" collapsed="false">
      <c r="A133" s="33"/>
      <c r="B133" s="33"/>
      <c r="C133" s="33"/>
      <c r="D133" s="37"/>
      <c r="E133" s="33"/>
      <c r="F133" s="40"/>
      <c r="G133" s="41" t="str">
        <f aca="false">IF($F133="","",$F133+365)</f>
        <v/>
      </c>
      <c r="H133" s="33"/>
    </row>
    <row r="134" customFormat="false" ht="15" hidden="false" customHeight="false" outlineLevel="0" collapsed="false">
      <c r="A134" s="33"/>
      <c r="B134" s="33"/>
      <c r="C134" s="33"/>
      <c r="D134" s="37"/>
      <c r="E134" s="33"/>
      <c r="F134" s="40"/>
      <c r="G134" s="41" t="str">
        <f aca="false">IF($F134="","",$F134+365)</f>
        <v/>
      </c>
      <c r="H134" s="33"/>
    </row>
    <row r="135" customFormat="false" ht="15" hidden="false" customHeight="false" outlineLevel="0" collapsed="false">
      <c r="A135" s="33"/>
      <c r="B135" s="33"/>
      <c r="C135" s="33"/>
      <c r="D135" s="37"/>
      <c r="E135" s="33"/>
      <c r="F135" s="40"/>
      <c r="G135" s="41" t="str">
        <f aca="false">IF($F135="","",$F135+365)</f>
        <v/>
      </c>
      <c r="H135" s="33"/>
    </row>
    <row r="136" customFormat="false" ht="15" hidden="false" customHeight="false" outlineLevel="0" collapsed="false">
      <c r="A136" s="33"/>
      <c r="B136" s="33"/>
      <c r="C136" s="33"/>
      <c r="D136" s="37"/>
      <c r="E136" s="33"/>
      <c r="F136" s="40"/>
      <c r="G136" s="41" t="str">
        <f aca="false">IF($F136="","",$F136+365)</f>
        <v/>
      </c>
      <c r="H136" s="33"/>
    </row>
    <row r="137" customFormat="false" ht="15" hidden="false" customHeight="false" outlineLevel="0" collapsed="false">
      <c r="A137" s="33"/>
      <c r="B137" s="33"/>
      <c r="C137" s="33"/>
      <c r="D137" s="37"/>
      <c r="E137" s="33"/>
      <c r="F137" s="40"/>
      <c r="G137" s="41" t="str">
        <f aca="false">IF($F137="","",$F137+365)</f>
        <v/>
      </c>
      <c r="H137" s="33"/>
    </row>
    <row r="138" customFormat="false" ht="15" hidden="false" customHeight="false" outlineLevel="0" collapsed="false">
      <c r="A138" s="33"/>
      <c r="B138" s="33"/>
      <c r="C138" s="33"/>
      <c r="D138" s="37"/>
      <c r="E138" s="33"/>
      <c r="F138" s="40"/>
      <c r="G138" s="41" t="str">
        <f aca="false">IF($F138="","",$F138+365)</f>
        <v/>
      </c>
      <c r="H138" s="33"/>
    </row>
    <row r="139" customFormat="false" ht="15" hidden="false" customHeight="false" outlineLevel="0" collapsed="false">
      <c r="A139" s="33"/>
      <c r="B139" s="33"/>
      <c r="C139" s="33"/>
      <c r="D139" s="37"/>
      <c r="E139" s="33"/>
      <c r="F139" s="40"/>
      <c r="G139" s="41" t="str">
        <f aca="false">IF($F139="","",$F139+365)</f>
        <v/>
      </c>
      <c r="H139" s="33"/>
    </row>
    <row r="140" customFormat="false" ht="15" hidden="false" customHeight="false" outlineLevel="0" collapsed="false">
      <c r="A140" s="33"/>
      <c r="B140" s="33"/>
      <c r="C140" s="33"/>
      <c r="D140" s="37"/>
      <c r="E140" s="33"/>
      <c r="F140" s="40"/>
      <c r="G140" s="41" t="str">
        <f aca="false">IF($F140="","",$F140+365)</f>
        <v/>
      </c>
      <c r="H140" s="33"/>
    </row>
    <row r="141" customFormat="false" ht="15" hidden="false" customHeight="false" outlineLevel="0" collapsed="false">
      <c r="A141" s="33"/>
      <c r="B141" s="33"/>
      <c r="C141" s="33"/>
      <c r="D141" s="37"/>
      <c r="E141" s="33"/>
      <c r="F141" s="40"/>
      <c r="G141" s="41" t="str">
        <f aca="false">IF($F141="","",$F141+365)</f>
        <v/>
      </c>
      <c r="H141" s="33"/>
    </row>
    <row r="142" customFormat="false" ht="15" hidden="false" customHeight="false" outlineLevel="0" collapsed="false">
      <c r="A142" s="33"/>
      <c r="B142" s="33"/>
      <c r="C142" s="33"/>
      <c r="D142" s="37"/>
      <c r="E142" s="33"/>
      <c r="F142" s="40"/>
      <c r="G142" s="41" t="str">
        <f aca="false">IF($F142="","",$F142+365)</f>
        <v/>
      </c>
      <c r="H142" s="33"/>
    </row>
    <row r="143" customFormat="false" ht="15" hidden="false" customHeight="false" outlineLevel="0" collapsed="false">
      <c r="A143" s="33"/>
      <c r="B143" s="33"/>
      <c r="C143" s="33"/>
      <c r="D143" s="37"/>
      <c r="E143" s="33"/>
      <c r="F143" s="40"/>
      <c r="G143" s="41" t="str">
        <f aca="false">IF($F143="","",$F143+365)</f>
        <v/>
      </c>
      <c r="H143" s="33"/>
    </row>
    <row r="144" customFormat="false" ht="15" hidden="false" customHeight="false" outlineLevel="0" collapsed="false">
      <c r="A144" s="33"/>
      <c r="B144" s="33"/>
      <c r="C144" s="33"/>
      <c r="D144" s="37"/>
      <c r="E144" s="33"/>
      <c r="F144" s="40"/>
      <c r="G144" s="41" t="str">
        <f aca="false">IF($F144="","",$F144+365)</f>
        <v/>
      </c>
      <c r="H144" s="33"/>
    </row>
    <row r="145" customFormat="false" ht="15" hidden="false" customHeight="false" outlineLevel="0" collapsed="false">
      <c r="A145" s="33"/>
      <c r="B145" s="33"/>
      <c r="C145" s="33"/>
      <c r="D145" s="37"/>
      <c r="E145" s="33"/>
      <c r="F145" s="40"/>
      <c r="G145" s="41" t="str">
        <f aca="false">IF($F145="","",$F145+365)</f>
        <v/>
      </c>
      <c r="H145" s="33"/>
    </row>
    <row r="146" customFormat="false" ht="15" hidden="false" customHeight="false" outlineLevel="0" collapsed="false">
      <c r="A146" s="33"/>
      <c r="B146" s="33"/>
      <c r="C146" s="33"/>
      <c r="D146" s="37"/>
      <c r="E146" s="33"/>
      <c r="F146" s="40"/>
      <c r="G146" s="41" t="str">
        <f aca="false">IF($F146="","",$F146+365)</f>
        <v/>
      </c>
      <c r="H146" s="33"/>
    </row>
    <row r="147" customFormat="false" ht="15" hidden="false" customHeight="false" outlineLevel="0" collapsed="false">
      <c r="A147" s="33"/>
      <c r="B147" s="33"/>
      <c r="C147" s="33"/>
      <c r="D147" s="37"/>
      <c r="E147" s="33"/>
      <c r="F147" s="40"/>
      <c r="G147" s="41" t="str">
        <f aca="false">IF($F147="","",$F147+365)</f>
        <v/>
      </c>
      <c r="H147" s="33"/>
    </row>
    <row r="148" customFormat="false" ht="15" hidden="false" customHeight="false" outlineLevel="0" collapsed="false">
      <c r="A148" s="33"/>
      <c r="B148" s="33"/>
      <c r="C148" s="33"/>
      <c r="D148" s="37"/>
      <c r="E148" s="33"/>
      <c r="F148" s="40"/>
      <c r="G148" s="41" t="str">
        <f aca="false">IF($F148="","",$F148+365)</f>
        <v/>
      </c>
      <c r="H148" s="33"/>
    </row>
    <row r="149" customFormat="false" ht="15" hidden="false" customHeight="false" outlineLevel="0" collapsed="false">
      <c r="A149" s="33"/>
      <c r="B149" s="33"/>
      <c r="C149" s="33"/>
      <c r="D149" s="37"/>
      <c r="E149" s="33"/>
      <c r="F149" s="40"/>
      <c r="G149" s="41" t="str">
        <f aca="false">IF($F149="","",$F149+365)</f>
        <v/>
      </c>
      <c r="H149" s="33"/>
    </row>
    <row r="150" customFormat="false" ht="15" hidden="false" customHeight="false" outlineLevel="0" collapsed="false">
      <c r="A150" s="33"/>
      <c r="B150" s="33"/>
      <c r="C150" s="33"/>
      <c r="D150" s="37"/>
      <c r="E150" s="33"/>
      <c r="F150" s="40"/>
      <c r="G150" s="41" t="str">
        <f aca="false">IF($F150="","",$F150+365)</f>
        <v/>
      </c>
      <c r="H150" s="33"/>
    </row>
    <row r="151" customFormat="false" ht="15" hidden="false" customHeight="false" outlineLevel="0" collapsed="false">
      <c r="A151" s="33"/>
      <c r="B151" s="33"/>
      <c r="C151" s="33"/>
      <c r="D151" s="37"/>
      <c r="E151" s="33"/>
      <c r="F151" s="40"/>
      <c r="G151" s="41" t="str">
        <f aca="false">IF($F151="","",$F151+365)</f>
        <v/>
      </c>
      <c r="H151" s="33"/>
    </row>
    <row r="152" customFormat="false" ht="15" hidden="false" customHeight="false" outlineLevel="0" collapsed="false">
      <c r="A152" s="33"/>
      <c r="B152" s="33"/>
      <c r="C152" s="33"/>
      <c r="D152" s="37"/>
      <c r="E152" s="33"/>
      <c r="F152" s="40"/>
      <c r="G152" s="41" t="str">
        <f aca="false">IF($F152="","",$F152+365)</f>
        <v/>
      </c>
      <c r="H152" s="33"/>
    </row>
    <row r="153" customFormat="false" ht="15" hidden="false" customHeight="false" outlineLevel="0" collapsed="false">
      <c r="A153" s="33"/>
      <c r="B153" s="33"/>
      <c r="C153" s="33"/>
      <c r="D153" s="37"/>
      <c r="E153" s="33"/>
      <c r="F153" s="40"/>
      <c r="G153" s="41" t="str">
        <f aca="false">IF($F153="","",$F153+365)</f>
        <v/>
      </c>
      <c r="H153" s="33"/>
    </row>
    <row r="154" customFormat="false" ht="15" hidden="false" customHeight="false" outlineLevel="0" collapsed="false">
      <c r="A154" s="33"/>
      <c r="B154" s="33"/>
      <c r="C154" s="33"/>
      <c r="D154" s="37"/>
      <c r="E154" s="33"/>
      <c r="F154" s="40"/>
      <c r="G154" s="41" t="str">
        <f aca="false">IF($F154="","",$F154+365)</f>
        <v/>
      </c>
      <c r="H154" s="33"/>
    </row>
    <row r="155" customFormat="false" ht="15" hidden="false" customHeight="false" outlineLevel="0" collapsed="false">
      <c r="A155" s="33"/>
      <c r="B155" s="33"/>
      <c r="C155" s="33"/>
      <c r="D155" s="37"/>
      <c r="E155" s="33"/>
      <c r="F155" s="40"/>
      <c r="G155" s="41" t="str">
        <f aca="false">IF($F155="","",$F155+365)</f>
        <v/>
      </c>
      <c r="H155" s="33"/>
    </row>
    <row r="156" customFormat="false" ht="15" hidden="false" customHeight="false" outlineLevel="0" collapsed="false">
      <c r="A156" s="33"/>
      <c r="B156" s="33"/>
      <c r="C156" s="33"/>
      <c r="D156" s="37"/>
      <c r="E156" s="33"/>
      <c r="F156" s="40"/>
      <c r="G156" s="41" t="str">
        <f aca="false">IF($F156="","",$F156+365)</f>
        <v/>
      </c>
      <c r="H156" s="33"/>
    </row>
    <row r="157" customFormat="false" ht="15" hidden="false" customHeight="false" outlineLevel="0" collapsed="false">
      <c r="A157" s="33"/>
      <c r="B157" s="33"/>
      <c r="C157" s="33"/>
      <c r="D157" s="37"/>
      <c r="E157" s="33"/>
      <c r="F157" s="40"/>
      <c r="G157" s="41" t="str">
        <f aca="false">IF($F157="","",$F157+365)</f>
        <v/>
      </c>
      <c r="H157" s="33"/>
    </row>
  </sheetData>
  <mergeCells count="2">
    <mergeCell ref="A1:H1"/>
    <mergeCell ref="A2:H2"/>
  </mergeCells>
  <dataValidations count="1">
    <dataValidation allowBlank="true" error="Seleccione un valor de la lista desplegable." errorStyle="stop" errorTitle="Valor no permitido" operator="between" showDropDown="false" showErrorMessage="true" showInputMessage="false" sqref="E7:E157" type="list">
      <formula1>"FUNCIONAL,FUNCIONAL_CON_OBSERVACIONES"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2026-08-24T21:34:00Z</dcterms:created>
  <dc:creator>openpyxl</dc:creator>
  <dc:description/>
  <dc:language>en-US</dc:language>
  <cp:lastModifiedBy/>
  <dcterms:modified xsi:type="dcterms:W3CDTF">2026-08-24T21:34:01Z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