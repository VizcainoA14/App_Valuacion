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OFERTA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<sst xmlns="http://schemas.openxmlformats.org/spreadsheetml/2006/main" count="162" uniqueCount="104">
  <si>
    <t xml:space="preserve">PL-11b - Estudio de Mercado del Avalúo de Inmueble</t>
  </si>
  <si>
    <t xml:space="preserve">Paso del proceso</t>
  </si>
  <si>
    <t xml:space="preserve">08 - Valuación de inmuebles</t>
  </si>
  <si>
    <t xml:space="preserve">Responsable de diligenciar</t>
  </si>
  <si>
    <t xml:space="preserve">Perito avaluador registrado</t>
  </si>
  <si>
    <t xml:space="preserve">Documento de referencia</t>
  </si>
  <si>
    <t xml:space="preserve">08_VALUACION_DE_INMUEBLES.md</t>
  </si>
  <si>
    <t xml:space="preserve">Se convierte en</t>
  </si>
  <si>
    <t xml:space="preserve">Soporte del informe pericial (EN-08-01)</t>
  </si>
  <si>
    <t xml:space="preserve">QUE SE DEBE SOLICITAR ANTES DE DILIGENCIAR</t>
  </si>
  <si>
    <t xml:space="preserve">-</t>
  </si>
  <si>
    <t xml:space="preserve">Ofertas comparables del sector recopiladas por el perito</t>
  </si>
  <si>
    <t xml:space="preserve">Portales inmobiliarios y contacto con inmobiliarias locales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</si>
  <si>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</si>
  <si>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</si>
  <si>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</si>
  <si>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</si>
  <si>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</si>
  <si>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</si>
  <si>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</si>
  <si>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</si>
  <si>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</si>
  <si>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</si>
  <si>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Registre TODAS las ofertas investigadas, incluidas las descartadas, con el motivo del descarte.</t>
  </si>
  <si>
    <t xml:space="preserve">Marque incluida = NO para las ofertas atípicas por tamano o ubicación.</t>
  </si>
  <si>
    <t xml:space="preserve">El valor por m2 adoptado es el promedio de las ofertas incluidas (ver hoja RESUMEN).</t>
  </si>
  <si>
    <t xml:space="preserve">Un coeficiente de variación superior al 20% indica una muestra poco confiable.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</si>
  <si>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</si>
  <si>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</si>
  <si>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</si>
  <si>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</si>
  <si>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</si>
  <si>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</si>
  <si>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</si>
  <si>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</si>
  <si>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</si>
  <si>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numero_oferta</t>
  </si>
  <si>
    <t xml:space="preserve">entero</t>
  </si>
  <si>
    <t xml:space="preserve">SI</t>
  </si>
  <si>
    <t xml:space="preserve">Consecutivo.</t>
  </si>
  <si>
    <t xml:space="preserve">direccion</t>
  </si>
  <si>
    <t xml:space="preserve">texto</t>
  </si>
  <si>
    <t xml:space="preserve">descripcion</t>
  </si>
  <si>
    <t xml:space="preserve">Caracteristicas del comparable.</t>
  </si>
  <si>
    <t xml:space="preserve">area_terreno_m2</t>
  </si>
  <si>
    <t xml:space="preserve">número</t>
  </si>
  <si>
    <t xml:space="preserve">area_construida_m2</t>
  </si>
  <si>
    <t xml:space="preserve">no</t>
  </si>
  <si>
    <t xml:space="preserve">Cero si es lote sin construir.</t>
  </si>
  <si>
    <t xml:space="preserve">valor_ofertado</t>
  </si>
  <si>
    <t xml:space="preserve">moneda</t>
  </si>
  <si>
    <t xml:space="preserve">Precio de oferta publicado.</t>
  </si>
  <si>
    <t xml:space="preserve">factor_negociacion_pct</t>
  </si>
  <si>
    <t xml:space="preserve">Descuento esperado en la negociacion. Ej: 0,08 = 8%.</t>
  </si>
  <si>
    <t xml:space="preserve">valor_depurado</t>
  </si>
  <si>
    <t xml:space="preserve">CALC</t>
  </si>
  <si>
    <t xml:space="preserve">CALCULADO: valor ofertado x (1 - factor de negociacion).</t>
  </si>
  <si>
    <t xml:space="preserve">valor_construccion</t>
  </si>
  <si>
    <t xml:space="preserve">Parte del valor atribuible a la construcción.</t>
  </si>
  <si>
    <t xml:space="preserve">valor_terreno</t>
  </si>
  <si>
    <t xml:space="preserve">CALCULADO: valor depurado - valor de construcción.</t>
  </si>
  <si>
    <t xml:space="preserve">valor_m2_terreno</t>
  </si>
  <si>
    <t xml:space="preserve">CALCULADO: valor de terreno / area de terreno.</t>
  </si>
  <si>
    <t xml:space="preserve">factor_homogeneizacion</t>
  </si>
  <si>
    <t xml:space="preserve">Ajuste por ubicación, tamano y topografia. 1 = sin ajuste.</t>
  </si>
  <si>
    <t xml:space="preserve">valor_m2_homogeneizado</t>
  </si>
  <si>
    <t xml:space="preserve">CALCULADO: valor por m2 x factor de homogeneización.</t>
  </si>
  <si>
    <t xml:space="preserve">incluida</t>
  </si>
  <si>
    <t xml:space="preserve">NO para ofertas descartadas.</t>
  </si>
  <si>
    <t xml:space="preserve">motivo_descarte</t>
  </si>
  <si>
    <t xml:space="preserve">Obligatorio si incluida = NO.</t>
  </si>
  <si>
    <t xml:space="preserve">fuente</t>
  </si>
  <si>
    <t xml:space="preserve">Inmobiliaria o portal.</t>
  </si>
  <si>
    <t xml:space="preserve">link</t>
  </si>
  <si>
    <t xml:space="preserve">valor_para_estadistica</t>
  </si>
  <si>
    <t xml:space="preserve">CALCULADA: toma el valor por m2 solo de las ofertas incluidas. Alimenta la hoja RESUMEN.</t>
  </si>
  <si>
    <t xml:space="preserve">{{ENTIDAD_RAZON_SOCIAL}}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</si>
  <si>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</si>
  <si>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</si>
  <si>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</si>
  <si>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</si>
  <si>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CARRERA 9 No. 9-15</t>
  </si>
  <si>
    <t xml:space="preserve">Lote amplio, topografia ondulada, entorno suburbano</t>
  </si>
  <si>
    <t xml:space="preserve">INMOBILIARIA LOCAL - 300 000 0000</t>
  </si>
  <si>
    <t xml:space="preserve">https://...</t>
  </si>
  <si>
    <t xml:space="preserve">RESUMEN ESTADISTICO DEL ESTUDIO DE MERCADO</t>
  </si>
  <si>
    <t xml:space="preserve">Ofertas investigadas</t>
  </si>
  <si>
    <t xml:space="preserve">Total de comparables registrados, incluidos los descartados.</t>
  </si>
  <si>
    <t xml:space="preserve">Ofertas incluidas</t>
  </si>
  <si>
    <t xml:space="preserve">Las que alimentan el promedio.</t>
  </si>
  <si>
    <t xml:space="preserve">Ofertas descartadas</t>
  </si>
  <si>
    <t xml:space="preserve">Deben tener motivo de descarte registrado.</t>
  </si>
  <si>
    <t xml:space="preserve">Media aritmética ($/m2)</t>
  </si>
  <si>
    <t xml:space="preserve">Promedio de las ofertas incluidas.</t>
  </si>
  <si>
    <t xml:space="preserve">Desviacion estándar</t>
  </si>
  <si>
    <t xml:space="preserve">Dispersion de la muestra.</t>
  </si>
  <si>
    <t xml:space="preserve">Coeficiente de variación</t>
  </si>
  <si>
    <t xml:space="preserve">Desviacion / media. Por encima de 20% la muestra es poco confiable.</t>
  </si>
  <si>
    <t xml:space="preserve">Valor máximo ($/m2)</t>
  </si>
  <si>
    <t xml:space="preserve">Valor mínimo ($/m2)</t>
  </si>
  <si>
    <t xml:space="preserve">VALOR ADOPTADO POR m2 DE TERRENO</t>
  </si>
  <si>
    <t xml:space="preserve">Se adopta la media de las ofertas incluidas. Llevelo a PL-11 columna valor_m2_terreno.</t>
  </si>
  <si>
    <t xml:space="preserve">Confiabilidad de la muestra</t>
  </si>
  <si>
    <t xml:space="preserve">CALCULADO a partir del coeficiente de variación.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</si>
</sst>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0.00%"/>
    <numFmt numFmtId="168" formatCode="0.0000"/>
    <numFmt numFmtId="169" formatCode="General"/>
    <numFmt numFmtId="170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9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9" customFormat="false" ht="15" hidden="false" customHeight="true" outlineLevel="0" collapsed="false">
      <c r="B29" s="5" t="s">
        <v>31</v>
      </c>
    </row>
    <row r="30" customFormat="false" ht="15" hidden="false" customHeight="true" outlineLevel="0" collapsed="false">
      <c r="B30" s="12" t="s">
        <v>32</v>
      </c>
      <c r="C30" s="12" t="s">
        <v>33</v>
      </c>
      <c r="D30" s="12" t="s">
        <v>34</v>
      </c>
      <c r="E30" s="12" t="s">
        <v>35</v>
      </c>
    </row>
    <row r="31" customFormat="false" ht="15" hidden="false" customHeight="true" outlineLevel="0" collapsed="false">
      <c r="B31" s="13" t="s">
        <v>36</v>
      </c>
      <c r="C31" s="13" t="s">
        <v>37</v>
      </c>
      <c r="D31" s="14" t="s">
        <v>38</v>
      </c>
      <c r="E31" s="15" t="s">
        <v>39</v>
      </c>
    </row>
    <row r="32" customFormat="false" ht="15" hidden="false" customHeight="true" outlineLevel="0" collapsed="false">
      <c r="B32" s="13" t="s">
        <v>40</v>
      </c>
      <c r="C32" s="13" t="s">
        <v>41</v>
      </c>
      <c r="D32" s="14" t="s">
        <v>38</v>
      </c>
      <c r="E32" s="15"/>
    </row>
    <row r="33" customFormat="false" ht="15" hidden="false" customHeight="true" outlineLevel="0" collapsed="false">
      <c r="B33" s="13" t="s">
        <v>42</v>
      </c>
      <c r="C33" s="13" t="s">
        <v>41</v>
      </c>
      <c r="D33" s="14" t="s">
        <v>38</v>
      </c>
      <c r="E33" s="15" t="s">
        <v>43</v>
      </c>
    </row>
    <row r="34" customFormat="false" ht="15" hidden="false" customHeight="true" outlineLevel="0" collapsed="false">
      <c r="B34" s="13" t="s">
        <v>44</v>
      </c>
      <c r="C34" s="13" t="s">
        <v>45</v>
      </c>
      <c r="D34" s="14" t="s">
        <v>38</v>
      </c>
      <c r="E34" s="15"/>
    </row>
    <row r="35" customFormat="false" ht="15" hidden="false" customHeight="true" outlineLevel="0" collapsed="false">
      <c r="B35" s="13" t="s">
        <v>46</v>
      </c>
      <c r="C35" s="13" t="s">
        <v>45</v>
      </c>
      <c r="D35" s="16" t="s">
        <v>47</v>
      </c>
      <c r="E35" s="15" t="s">
        <v>48</v>
      </c>
    </row>
    <row r="36" customFormat="false" ht="15" hidden="false" customHeight="true" outlineLevel="0" collapsed="false">
      <c r="B36" s="13" t="s">
        <v>49</v>
      </c>
      <c r="C36" s="13" t="s">
        <v>50</v>
      </c>
      <c r="D36" s="14" t="s">
        <v>38</v>
      </c>
      <c r="E36" s="15" t="s">
        <v>51</v>
      </c>
    </row>
    <row r="37" customFormat="false" ht="15" hidden="false" customHeight="true" outlineLevel="0" collapsed="false">
      <c r="B37" s="13" t="s">
        <v>52</v>
      </c>
      <c r="C37" s="13" t="s">
        <v>45</v>
      </c>
      <c r="D37" s="14" t="s">
        <v>38</v>
      </c>
      <c r="E37" s="15" t="s">
        <v>53</v>
      </c>
    </row>
    <row r="38" customFormat="false" ht="15" hidden="false" customHeight="true" outlineLevel="0" collapsed="false">
      <c r="B38" s="17" t="s">
        <v>54</v>
      </c>
      <c r="C38" s="17" t="s">
        <v>41</v>
      </c>
      <c r="D38" s="18" t="s">
        <v>55</v>
      </c>
      <c r="E38" s="19" t="s">
        <v>56</v>
      </c>
    </row>
    <row r="39" customFormat="false" ht="15" hidden="false" customHeight="true" outlineLevel="0" collapsed="false">
      <c r="B39" s="13" t="s">
        <v>57</v>
      </c>
      <c r="C39" s="13" t="s">
        <v>50</v>
      </c>
      <c r="D39" s="16" t="s">
        <v>47</v>
      </c>
      <c r="E39" s="15" t="s">
        <v>58</v>
      </c>
    </row>
    <row r="40" customFormat="false" ht="15" hidden="false" customHeight="true" outlineLevel="0" collapsed="false">
      <c r="B40" s="17" t="s">
        <v>59</v>
      </c>
      <c r="C40" s="17" t="s">
        <v>41</v>
      </c>
      <c r="D40" s="18" t="s">
        <v>55</v>
      </c>
      <c r="E40" s="19" t="s">
        <v>60</v>
      </c>
    </row>
    <row r="41" customFormat="false" ht="15" hidden="false" customHeight="true" outlineLevel="0" collapsed="false">
      <c r="B41" s="17" t="s">
        <v>61</v>
      </c>
      <c r="C41" s="17" t="s">
        <v>41</v>
      </c>
      <c r="D41" s="18" t="s">
        <v>55</v>
      </c>
      <c r="E41" s="19" t="s">
        <v>62</v>
      </c>
    </row>
    <row r="42" customFormat="false" ht="15" hidden="false" customHeight="true" outlineLevel="0" collapsed="false">
      <c r="B42" s="13" t="s">
        <v>63</v>
      </c>
      <c r="C42" s="13" t="s">
        <v>45</v>
      </c>
      <c r="D42" s="16" t="s">
        <v>47</v>
      </c>
      <c r="E42" s="15" t="s">
        <v>64</v>
      </c>
    </row>
    <row r="43" customFormat="false" ht="15" hidden="false" customHeight="true" outlineLevel="0" collapsed="false">
      <c r="B43" s="17" t="s">
        <v>65</v>
      </c>
      <c r="C43" s="17" t="s">
        <v>41</v>
      </c>
      <c r="D43" s="18" t="s">
        <v>55</v>
      </c>
      <c r="E43" s="19" t="s">
        <v>66</v>
      </c>
    </row>
    <row r="44" customFormat="false" ht="15" hidden="false" customHeight="true" outlineLevel="0" collapsed="false">
      <c r="B44" s="13" t="s">
        <v>67</v>
      </c>
      <c r="C44" s="13" t="s">
        <v>41</v>
      </c>
      <c r="D44" s="14" t="s">
        <v>38</v>
      </c>
      <c r="E44" s="15" t="s">
        <v>68</v>
      </c>
    </row>
    <row r="45" customFormat="false" ht="15" hidden="false" customHeight="true" outlineLevel="0" collapsed="false">
      <c r="B45" s="13" t="s">
        <v>69</v>
      </c>
      <c r="C45" s="13" t="s">
        <v>41</v>
      </c>
      <c r="D45" s="16" t="s">
        <v>47</v>
      </c>
      <c r="E45" s="15" t="s">
        <v>70</v>
      </c>
    </row>
    <row r="46" customFormat="false" ht="15" hidden="false" customHeight="true" outlineLevel="0" collapsed="false">
      <c r="B46" s="13" t="s">
        <v>71</v>
      </c>
      <c r="C46" s="13" t="s">
        <v>41</v>
      </c>
      <c r="D46" s="14" t="s">
        <v>38</v>
      </c>
      <c r="E46" s="15" t="s">
        <v>72</v>
      </c>
    </row>
    <row r="47" customFormat="false" ht="15" hidden="false" customHeight="true" outlineLevel="0" collapsed="false">
      <c r="B47" s="13" t="s">
        <v>73</v>
      </c>
      <c r="C47" s="13" t="s">
        <v>41</v>
      </c>
      <c r="D47" s="16" t="s">
        <v>47</v>
      </c>
      <c r="E47" s="15"/>
    </row>
    <row r="48" customFormat="false" ht="15" hidden="false" customHeight="true" outlineLevel="0" collapsed="false">
      <c r="B48" s="17" t="s">
        <v>74</v>
      </c>
      <c r="C48" s="17" t="s">
        <v>41</v>
      </c>
      <c r="D48" s="18" t="s">
        <v>55</v>
      </c>
      <c r="E48" s="19" t="s">
        <v>75</v>
      </c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10" min="8" style="1" width="18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1"/>
    <col collapsed="false" customWidth="true" hidden="false" outlineLevel="0" max="15" min="15" style="1" width="30"/>
    <col collapsed="false" customWidth="true" hidden="false" outlineLevel="0" max="16" min="16" style="1" width="24"/>
    <col collapsed="false" customWidth="true" hidden="false" outlineLevel="0" max="17" min="17" style="1" width="30"/>
    <col collapsed="false" customWidth="true" hidden="false" outlineLevel="0" max="18" min="18" style="1" width="16"/>
  </cols>
  <sheetData>
    <row r="1" customFormat="false" ht="15" hidden="false" customHeight="true" outlineLevel="0" collapsed="false">
      <c r="A1" s="20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15" hidden="false" customHeight="true" outlineLevel="0" collapsed="false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customFormat="false" ht="15" hidden="false" customHeight="true" outlineLevel="0" collapsed="false">
      <c r="A3" s="3" t="s">
        <v>77</v>
      </c>
      <c r="B3" s="22" t="s">
        <v>78</v>
      </c>
      <c r="D3" s="3" t="s">
        <v>79</v>
      </c>
      <c r="E3" s="23"/>
    </row>
    <row r="4" customFormat="false" ht="15" hidden="false" customHeight="true" outlineLevel="0" collapsed="false">
      <c r="A4" s="24" t="s">
        <v>80</v>
      </c>
    </row>
    <row r="6" customFormat="false" ht="33.75" hidden="false" customHeight="true" outlineLevel="0" collapsed="false">
      <c r="A6" s="25" t="s">
        <v>36</v>
      </c>
      <c r="B6" s="25" t="s">
        <v>40</v>
      </c>
      <c r="C6" s="25" t="s">
        <v>42</v>
      </c>
      <c r="D6" s="25" t="s">
        <v>44</v>
      </c>
      <c r="E6" s="25" t="s">
        <v>46</v>
      </c>
      <c r="F6" s="25" t="s">
        <v>49</v>
      </c>
      <c r="G6" s="25" t="s">
        <v>52</v>
      </c>
      <c r="H6" s="26" t="s">
        <v>54</v>
      </c>
      <c r="I6" s="25" t="s">
        <v>57</v>
      </c>
      <c r="J6" s="26" t="s">
        <v>59</v>
      </c>
      <c r="K6" s="26" t="s">
        <v>61</v>
      </c>
      <c r="L6" s="25" t="s">
        <v>63</v>
      </c>
      <c r="M6" s="26" t="s">
        <v>65</v>
      </c>
      <c r="N6" s="25" t="s">
        <v>67</v>
      </c>
      <c r="O6" s="25" t="s">
        <v>69</v>
      </c>
      <c r="P6" s="25" t="s">
        <v>71</v>
      </c>
      <c r="Q6" s="25" t="s">
        <v>73</v>
      </c>
      <c r="R6" s="26" t="s">
        <v>74</v>
      </c>
    </row>
    <row r="7" customFormat="false" ht="15" hidden="false" customHeight="true" outlineLevel="0" collapsed="false">
      <c r="A7" s="27" t="n">
        <v>1</v>
      </c>
      <c r="B7" s="27" t="s">
        <v>81</v>
      </c>
      <c r="C7" s="28" t="s">
        <v>82</v>
      </c>
      <c r="D7" s="29" t="n">
        <v>5510</v>
      </c>
      <c r="E7" s="29" t="n">
        <v>0</v>
      </c>
      <c r="F7" s="30" t="n">
        <v>2500000000</v>
      </c>
      <c r="G7" s="31" t="n">
        <v>0.08</v>
      </c>
      <c r="H7" s="30" t="n">
        <f aca="false">IF(OR($F7="",$G7=""),"",$F7*(1-$G7))</f>
        <v>2300000000</v>
      </c>
      <c r="I7" s="30" t="n">
        <v>0</v>
      </c>
      <c r="J7" s="30" t="n">
        <f aca="false">IF($H7="","",$H7-IF($I7="",0,$I7))</f>
        <v>2300000000</v>
      </c>
      <c r="K7" s="30" t="n">
        <f aca="false">IF(OR($J7="",$D7=0),"",$J7/$D7)</f>
        <v>417422.867513612</v>
      </c>
      <c r="L7" s="32" t="n">
        <v>1.5731</v>
      </c>
      <c r="M7" s="30" t="n">
        <f aca="false">IF(OR($K7="",$L7=""),"",$K7*$L7)</f>
        <v>656647.912885662</v>
      </c>
      <c r="N7" s="27" t="s">
        <v>38</v>
      </c>
      <c r="O7" s="28"/>
      <c r="P7" s="27" t="s">
        <v>83</v>
      </c>
      <c r="Q7" s="27" t="s">
        <v>84</v>
      </c>
      <c r="R7" s="30" t="n">
        <f aca="false">IF($N7="SI",$M7,"")</f>
        <v>656647.912885662</v>
      </c>
    </row>
    <row r="8" customFormat="false" ht="15" hidden="false" customHeight="true" outlineLevel="0" collapsed="false">
      <c r="A8" s="33"/>
      <c r="B8" s="33"/>
      <c r="C8" s="34"/>
      <c r="D8" s="35"/>
      <c r="E8" s="35"/>
      <c r="F8" s="36"/>
      <c r="G8" s="37"/>
      <c r="H8" s="38" t="str">
        <f aca="false">IF(OR($F8="",$G8=""),"",$F8*(1-$G8))</f>
        <v/>
      </c>
      <c r="I8" s="36"/>
      <c r="J8" s="38" t="str">
        <f aca="false">IF($H8="","",$H8-IF($I8="",0,$I8))</f>
        <v/>
      </c>
      <c r="K8" s="38" t="str">
        <f aca="false">IF(OR($J8="",$D8=0),"",$J8/$D8)</f>
        <v/>
      </c>
      <c r="L8" s="39"/>
      <c r="M8" s="38" t="str">
        <f aca="false">IF(OR($K8="",$L8=""),"",$K8*$L8)</f>
        <v/>
      </c>
      <c r="N8" s="33"/>
      <c r="O8" s="34"/>
      <c r="P8" s="33"/>
      <c r="Q8" s="33"/>
      <c r="R8" s="38" t="str">
        <f aca="false">IF($N8="SI",$M8,"")</f>
        <v/>
      </c>
    </row>
    <row r="9" customFormat="false" ht="15" hidden="false" customHeight="true" outlineLevel="0" collapsed="false">
      <c r="A9" s="33"/>
      <c r="B9" s="33"/>
      <c r="C9" s="34"/>
      <c r="D9" s="35"/>
      <c r="E9" s="35"/>
      <c r="F9" s="36"/>
      <c r="G9" s="37"/>
      <c r="H9" s="38" t="str">
        <f aca="false">IF(OR($F9="",$G9=""),"",$F9*(1-$G9))</f>
        <v/>
      </c>
      <c r="I9" s="36"/>
      <c r="J9" s="38" t="str">
        <f aca="false">IF($H9="","",$H9-IF($I9="",0,$I9))</f>
        <v/>
      </c>
      <c r="K9" s="38" t="str">
        <f aca="false">IF(OR($J9="",$D9=0),"",$J9/$D9)</f>
        <v/>
      </c>
      <c r="L9" s="39"/>
      <c r="M9" s="38" t="str">
        <f aca="false">IF(OR($K9="",$L9=""),"",$K9*$L9)</f>
        <v/>
      </c>
      <c r="N9" s="33"/>
      <c r="O9" s="34"/>
      <c r="P9" s="33"/>
      <c r="Q9" s="33"/>
      <c r="R9" s="38" t="str">
        <f aca="false">IF($N9="SI",$M9,"")</f>
        <v/>
      </c>
    </row>
    <row r="10" customFormat="false" ht="15" hidden="false" customHeight="true" outlineLevel="0" collapsed="false">
      <c r="A10" s="33"/>
      <c r="B10" s="33"/>
      <c r="C10" s="34"/>
      <c r="D10" s="35"/>
      <c r="E10" s="35"/>
      <c r="F10" s="36"/>
      <c r="G10" s="37"/>
      <c r="H10" s="38" t="str">
        <f aca="false">IF(OR($F10="",$G10=""),"",$F10*(1-$G10))</f>
        <v/>
      </c>
      <c r="I10" s="36"/>
      <c r="J10" s="38" t="str">
        <f aca="false">IF($H10="","",$H10-IF($I10="",0,$I10))</f>
        <v/>
      </c>
      <c r="K10" s="38" t="str">
        <f aca="false">IF(OR($J10="",$D10=0),"",$J10/$D10)</f>
        <v/>
      </c>
      <c r="L10" s="39"/>
      <c r="M10" s="38" t="str">
        <f aca="false">IF(OR($K10="",$L10=""),"",$K10*$L10)</f>
        <v/>
      </c>
      <c r="N10" s="33"/>
      <c r="O10" s="34"/>
      <c r="P10" s="33"/>
      <c r="Q10" s="33"/>
      <c r="R10" s="38" t="str">
        <f aca="false">IF($N10="SI",$M10,"")</f>
        <v/>
      </c>
    </row>
    <row r="11" customFormat="false" ht="15" hidden="false" customHeight="true" outlineLevel="0" collapsed="false">
      <c r="A11" s="33"/>
      <c r="B11" s="33"/>
      <c r="C11" s="34"/>
      <c r="D11" s="35"/>
      <c r="E11" s="35"/>
      <c r="F11" s="36"/>
      <c r="G11" s="37"/>
      <c r="H11" s="38" t="str">
        <f aca="false">IF(OR($F11="",$G11=""),"",$F11*(1-$G11))</f>
        <v/>
      </c>
      <c r="I11" s="36"/>
      <c r="J11" s="38" t="str">
        <f aca="false">IF($H11="","",$H11-IF($I11="",0,$I11))</f>
        <v/>
      </c>
      <c r="K11" s="38" t="str">
        <f aca="false">IF(OR($J11="",$D11=0),"",$J11/$D11)</f>
        <v/>
      </c>
      <c r="L11" s="39"/>
      <c r="M11" s="38" t="str">
        <f aca="false">IF(OR($K11="",$L11=""),"",$K11*$L11)</f>
        <v/>
      </c>
      <c r="N11" s="33"/>
      <c r="O11" s="34"/>
      <c r="P11" s="33"/>
      <c r="Q11" s="33"/>
      <c r="R11" s="38" t="str">
        <f aca="false">IF($N11="SI",$M11,"")</f>
        <v/>
      </c>
    </row>
    <row r="12" customFormat="false" ht="15" hidden="false" customHeight="true" outlineLevel="0" collapsed="false">
      <c r="A12" s="33"/>
      <c r="B12" s="33"/>
      <c r="C12" s="34"/>
      <c r="D12" s="35"/>
      <c r="E12" s="35"/>
      <c r="F12" s="36"/>
      <c r="G12" s="37"/>
      <c r="H12" s="38" t="str">
        <f aca="false">IF(OR($F12="",$G12=""),"",$F12*(1-$G12))</f>
        <v/>
      </c>
      <c r="I12" s="36"/>
      <c r="J12" s="38" t="str">
        <f aca="false">IF($H12="","",$H12-IF($I12="",0,$I12))</f>
        <v/>
      </c>
      <c r="K12" s="38" t="str">
        <f aca="false">IF(OR($J12="",$D12=0),"",$J12/$D12)</f>
        <v/>
      </c>
      <c r="L12" s="39"/>
      <c r="M12" s="38" t="str">
        <f aca="false">IF(OR($K12="",$L12=""),"",$K12*$L12)</f>
        <v/>
      </c>
      <c r="N12" s="33"/>
      <c r="O12" s="34"/>
      <c r="P12" s="33"/>
      <c r="Q12" s="33"/>
      <c r="R12" s="38" t="str">
        <f aca="false">IF($N12="SI",$M12,"")</f>
        <v/>
      </c>
    </row>
    <row r="13" customFormat="false" ht="15" hidden="false" customHeight="true" outlineLevel="0" collapsed="false">
      <c r="A13" s="33"/>
      <c r="B13" s="33"/>
      <c r="C13" s="34"/>
      <c r="D13" s="35"/>
      <c r="E13" s="35"/>
      <c r="F13" s="36"/>
      <c r="G13" s="37"/>
      <c r="H13" s="38" t="str">
        <f aca="false">IF(OR($F13="",$G13=""),"",$F13*(1-$G13))</f>
        <v/>
      </c>
      <c r="I13" s="36"/>
      <c r="J13" s="38" t="str">
        <f aca="false">IF($H13="","",$H13-IF($I13="",0,$I13))</f>
        <v/>
      </c>
      <c r="K13" s="38" t="str">
        <f aca="false">IF(OR($J13="",$D13=0),"",$J13/$D13)</f>
        <v/>
      </c>
      <c r="L13" s="39"/>
      <c r="M13" s="38" t="str">
        <f aca="false">IF(OR($K13="",$L13=""),"",$K13*$L13)</f>
        <v/>
      </c>
      <c r="N13" s="33"/>
      <c r="O13" s="34"/>
      <c r="P13" s="33"/>
      <c r="Q13" s="33"/>
      <c r="R13" s="38" t="str">
        <f aca="false">IF($N13="SI",$M13,"")</f>
        <v/>
      </c>
    </row>
    <row r="14" customFormat="false" ht="15" hidden="false" customHeight="true" outlineLevel="0" collapsed="false">
      <c r="A14" s="33"/>
      <c r="B14" s="33"/>
      <c r="C14" s="34"/>
      <c r="D14" s="35"/>
      <c r="E14" s="35"/>
      <c r="F14" s="36"/>
      <c r="G14" s="37"/>
      <c r="H14" s="38" t="str">
        <f aca="false">IF(OR($F14="",$G14=""),"",$F14*(1-$G14))</f>
        <v/>
      </c>
      <c r="I14" s="36"/>
      <c r="J14" s="38" t="str">
        <f aca="false">IF($H14="","",$H14-IF($I14="",0,$I14))</f>
        <v/>
      </c>
      <c r="K14" s="38" t="str">
        <f aca="false">IF(OR($J14="",$D14=0),"",$J14/$D14)</f>
        <v/>
      </c>
      <c r="L14" s="39"/>
      <c r="M14" s="38" t="str">
        <f aca="false">IF(OR($K14="",$L14=""),"",$K14*$L14)</f>
        <v/>
      </c>
      <c r="N14" s="33"/>
      <c r="O14" s="34"/>
      <c r="P14" s="33"/>
      <c r="Q14" s="33"/>
      <c r="R14" s="38" t="str">
        <f aca="false">IF($N14="SI",$M14,"")</f>
        <v/>
      </c>
    </row>
    <row r="15" customFormat="false" ht="15" hidden="false" customHeight="true" outlineLevel="0" collapsed="false">
      <c r="A15" s="33"/>
      <c r="B15" s="33"/>
      <c r="C15" s="34"/>
      <c r="D15" s="35"/>
      <c r="E15" s="35"/>
      <c r="F15" s="36"/>
      <c r="G15" s="37"/>
      <c r="H15" s="38" t="str">
        <f aca="false">IF(OR($F15="",$G15=""),"",$F15*(1-$G15))</f>
        <v/>
      </c>
      <c r="I15" s="36"/>
      <c r="J15" s="38" t="str">
        <f aca="false">IF($H15="","",$H15-IF($I15="",0,$I15))</f>
        <v/>
      </c>
      <c r="K15" s="38" t="str">
        <f aca="false">IF(OR($J15="",$D15=0),"",$J15/$D15)</f>
        <v/>
      </c>
      <c r="L15" s="39"/>
      <c r="M15" s="38" t="str">
        <f aca="false">IF(OR($K15="",$L15=""),"",$K15*$L15)</f>
        <v/>
      </c>
      <c r="N15" s="33"/>
      <c r="O15" s="34"/>
      <c r="P15" s="33"/>
      <c r="Q15" s="33"/>
      <c r="R15" s="38" t="str">
        <f aca="false">IF($N15="SI",$M15,"")</f>
        <v/>
      </c>
    </row>
    <row r="16" customFormat="false" ht="15" hidden="false" customHeight="true" outlineLevel="0" collapsed="false">
      <c r="A16" s="33"/>
      <c r="B16" s="33"/>
      <c r="C16" s="34"/>
      <c r="D16" s="35"/>
      <c r="E16" s="35"/>
      <c r="F16" s="36"/>
      <c r="G16" s="37"/>
      <c r="H16" s="38" t="str">
        <f aca="false">IF(OR($F16="",$G16=""),"",$F16*(1-$G16))</f>
        <v/>
      </c>
      <c r="I16" s="36"/>
      <c r="J16" s="38" t="str">
        <f aca="false">IF($H16="","",$H16-IF($I16="",0,$I16))</f>
        <v/>
      </c>
      <c r="K16" s="38" t="str">
        <f aca="false">IF(OR($J16="",$D16=0),"",$J16/$D16)</f>
        <v/>
      </c>
      <c r="L16" s="39"/>
      <c r="M16" s="38" t="str">
        <f aca="false">IF(OR($K16="",$L16=""),"",$K16*$L16)</f>
        <v/>
      </c>
      <c r="N16" s="33"/>
      <c r="O16" s="34"/>
      <c r="P16" s="33"/>
      <c r="Q16" s="33"/>
      <c r="R16" s="38" t="str">
        <f aca="false">IF($N16="SI",$M16,"")</f>
        <v/>
      </c>
    </row>
    <row r="17" customFormat="false" ht="15" hidden="false" customHeight="true" outlineLevel="0" collapsed="false">
      <c r="A17" s="33"/>
      <c r="B17" s="33"/>
      <c r="C17" s="34"/>
      <c r="D17" s="35"/>
      <c r="E17" s="35"/>
      <c r="F17" s="36"/>
      <c r="G17" s="37"/>
      <c r="H17" s="38" t="str">
        <f aca="false">IF(OR($F17="",$G17=""),"",$F17*(1-$G17))</f>
        <v/>
      </c>
      <c r="I17" s="36"/>
      <c r="J17" s="38" t="str">
        <f aca="false">IF($H17="","",$H17-IF($I17="",0,$I17))</f>
        <v/>
      </c>
      <c r="K17" s="38" t="str">
        <f aca="false">IF(OR($J17="",$D17=0),"",$J17/$D17)</f>
        <v/>
      </c>
      <c r="L17" s="39"/>
      <c r="M17" s="38" t="str">
        <f aca="false">IF(OR($K17="",$L17=""),"",$K17*$L17)</f>
        <v/>
      </c>
      <c r="N17" s="33"/>
      <c r="O17" s="34"/>
      <c r="P17" s="33"/>
      <c r="Q17" s="33"/>
      <c r="R17" s="38" t="str">
        <f aca="false">IF($N17="SI",$M17,"")</f>
        <v/>
      </c>
    </row>
    <row r="18" customFormat="false" ht="15" hidden="false" customHeight="true" outlineLevel="0" collapsed="false">
      <c r="A18" s="33"/>
      <c r="B18" s="33"/>
      <c r="C18" s="34"/>
      <c r="D18" s="35"/>
      <c r="E18" s="35"/>
      <c r="F18" s="36"/>
      <c r="G18" s="37"/>
      <c r="H18" s="38" t="str">
        <f aca="false">IF(OR($F18="",$G18=""),"",$F18*(1-$G18))</f>
        <v/>
      </c>
      <c r="I18" s="36"/>
      <c r="J18" s="38" t="str">
        <f aca="false">IF($H18="","",$H18-IF($I18="",0,$I18))</f>
        <v/>
      </c>
      <c r="K18" s="38" t="str">
        <f aca="false">IF(OR($J18="",$D18=0),"",$J18/$D18)</f>
        <v/>
      </c>
      <c r="L18" s="39"/>
      <c r="M18" s="38" t="str">
        <f aca="false">IF(OR($K18="",$L18=""),"",$K18*$L18)</f>
        <v/>
      </c>
      <c r="N18" s="33"/>
      <c r="O18" s="34"/>
      <c r="P18" s="33"/>
      <c r="Q18" s="33"/>
      <c r="R18" s="38" t="str">
        <f aca="false">IF($N18="SI",$M18,"")</f>
        <v/>
      </c>
    </row>
    <row r="19" customFormat="false" ht="15" hidden="false" customHeight="true" outlineLevel="0" collapsed="false">
      <c r="A19" s="33"/>
      <c r="B19" s="33"/>
      <c r="C19" s="34"/>
      <c r="D19" s="35"/>
      <c r="E19" s="35"/>
      <c r="F19" s="36"/>
      <c r="G19" s="37"/>
      <c r="H19" s="38" t="str">
        <f aca="false">IF(OR($F19="",$G19=""),"",$F19*(1-$G19))</f>
        <v/>
      </c>
      <c r="I19" s="36"/>
      <c r="J19" s="38" t="str">
        <f aca="false">IF($H19="","",$H19-IF($I19="",0,$I19))</f>
        <v/>
      </c>
      <c r="K19" s="38" t="str">
        <f aca="false">IF(OR($J19="",$D19=0),"",$J19/$D19)</f>
        <v/>
      </c>
      <c r="L19" s="39"/>
      <c r="M19" s="38" t="str">
        <f aca="false">IF(OR($K19="",$L19=""),"",$K19*$L19)</f>
        <v/>
      </c>
      <c r="N19" s="33"/>
      <c r="O19" s="34"/>
      <c r="P19" s="33"/>
      <c r="Q19" s="33"/>
      <c r="R19" s="38" t="str">
        <f aca="false">IF($N19="SI",$M19,"")</f>
        <v/>
      </c>
    </row>
    <row r="20" customFormat="false" ht="15" hidden="false" customHeight="true" outlineLevel="0" collapsed="false">
      <c r="A20" s="33"/>
      <c r="B20" s="33"/>
      <c r="C20" s="34"/>
      <c r="D20" s="35"/>
      <c r="E20" s="35"/>
      <c r="F20" s="36"/>
      <c r="G20" s="37"/>
      <c r="H20" s="38" t="str">
        <f aca="false">IF(OR($F20="",$G20=""),"",$F20*(1-$G20))</f>
        <v/>
      </c>
      <c r="I20" s="36"/>
      <c r="J20" s="38" t="str">
        <f aca="false">IF($H20="","",$H20-IF($I20="",0,$I20))</f>
        <v/>
      </c>
      <c r="K20" s="38" t="str">
        <f aca="false">IF(OR($J20="",$D20=0),"",$J20/$D20)</f>
        <v/>
      </c>
      <c r="L20" s="39"/>
      <c r="M20" s="38" t="str">
        <f aca="false">IF(OR($K20="",$L20=""),"",$K20*$L20)</f>
        <v/>
      </c>
      <c r="N20" s="33"/>
      <c r="O20" s="34"/>
      <c r="P20" s="33"/>
      <c r="Q20" s="33"/>
      <c r="R20" s="38" t="str">
        <f aca="false">IF($N20="SI",$M20,"")</f>
        <v/>
      </c>
    </row>
    <row r="21" customFormat="false" ht="15" hidden="false" customHeight="true" outlineLevel="0" collapsed="false">
      <c r="A21" s="33"/>
      <c r="B21" s="33"/>
      <c r="C21" s="34"/>
      <c r="D21" s="35"/>
      <c r="E21" s="35"/>
      <c r="F21" s="36"/>
      <c r="G21" s="37"/>
      <c r="H21" s="38" t="str">
        <f aca="false">IF(OR($F21="",$G21=""),"",$F21*(1-$G21))</f>
        <v/>
      </c>
      <c r="I21" s="36"/>
      <c r="J21" s="38" t="str">
        <f aca="false">IF($H21="","",$H21-IF($I21="",0,$I21))</f>
        <v/>
      </c>
      <c r="K21" s="38" t="str">
        <f aca="false">IF(OR($J21="",$D21=0),"",$J21/$D21)</f>
        <v/>
      </c>
      <c r="L21" s="39"/>
      <c r="M21" s="38" t="str">
        <f aca="false">IF(OR($K21="",$L21=""),"",$K21*$L21)</f>
        <v/>
      </c>
      <c r="N21" s="33"/>
      <c r="O21" s="34"/>
      <c r="P21" s="33"/>
      <c r="Q21" s="33"/>
      <c r="R21" s="38" t="str">
        <f aca="false">IF($N21="SI",$M21,"")</f>
        <v/>
      </c>
    </row>
    <row r="22" customFormat="false" ht="15" hidden="false" customHeight="true" outlineLevel="0" collapsed="false">
      <c r="A22" s="33"/>
      <c r="B22" s="33"/>
      <c r="C22" s="34"/>
      <c r="D22" s="35"/>
      <c r="E22" s="35"/>
      <c r="F22" s="36"/>
      <c r="G22" s="37"/>
      <c r="H22" s="38" t="str">
        <f aca="false">IF(OR($F22="",$G22=""),"",$F22*(1-$G22))</f>
        <v/>
      </c>
      <c r="I22" s="36"/>
      <c r="J22" s="38" t="str">
        <f aca="false">IF($H22="","",$H22-IF($I22="",0,$I22))</f>
        <v/>
      </c>
      <c r="K22" s="38" t="str">
        <f aca="false">IF(OR($J22="",$D22=0),"",$J22/$D22)</f>
        <v/>
      </c>
      <c r="L22" s="39"/>
      <c r="M22" s="38" t="str">
        <f aca="false">IF(OR($K22="",$L22=""),"",$K22*$L22)</f>
        <v/>
      </c>
      <c r="N22" s="33"/>
      <c r="O22" s="34"/>
      <c r="P22" s="33"/>
      <c r="Q22" s="33"/>
      <c r="R22" s="38" t="str">
        <f aca="false">IF($N22="SI",$M22,"")</f>
        <v/>
      </c>
    </row>
    <row r="23" customFormat="false" ht="15" hidden="false" customHeight="true" outlineLevel="0" collapsed="false">
      <c r="A23" s="33"/>
      <c r="B23" s="33"/>
      <c r="C23" s="34"/>
      <c r="D23" s="35"/>
      <c r="E23" s="35"/>
      <c r="F23" s="36"/>
      <c r="G23" s="37"/>
      <c r="H23" s="38" t="str">
        <f aca="false">IF(OR($F23="",$G23=""),"",$F23*(1-$G23))</f>
        <v/>
      </c>
      <c r="I23" s="36"/>
      <c r="J23" s="38" t="str">
        <f aca="false">IF($H23="","",$H23-IF($I23="",0,$I23))</f>
        <v/>
      </c>
      <c r="K23" s="38" t="str">
        <f aca="false">IF(OR($J23="",$D23=0),"",$J23/$D23)</f>
        <v/>
      </c>
      <c r="L23" s="39"/>
      <c r="M23" s="38" t="str">
        <f aca="false">IF(OR($K23="",$L23=""),"",$K23*$L23)</f>
        <v/>
      </c>
      <c r="N23" s="33"/>
      <c r="O23" s="34"/>
      <c r="P23" s="33"/>
      <c r="Q23" s="33"/>
      <c r="R23" s="38" t="str">
        <f aca="false">IF($N23="SI",$M23,"")</f>
        <v/>
      </c>
    </row>
    <row r="24" customFormat="false" ht="15" hidden="false" customHeight="true" outlineLevel="0" collapsed="false">
      <c r="A24" s="33"/>
      <c r="B24" s="33"/>
      <c r="C24" s="34"/>
      <c r="D24" s="35"/>
      <c r="E24" s="35"/>
      <c r="F24" s="36"/>
      <c r="G24" s="37"/>
      <c r="H24" s="38" t="str">
        <f aca="false">IF(OR($F24="",$G24=""),"",$F24*(1-$G24))</f>
        <v/>
      </c>
      <c r="I24" s="36"/>
      <c r="J24" s="38" t="str">
        <f aca="false">IF($H24="","",$H24-IF($I24="",0,$I24))</f>
        <v/>
      </c>
      <c r="K24" s="38" t="str">
        <f aca="false">IF(OR($J24="",$D24=0),"",$J24/$D24)</f>
        <v/>
      </c>
      <c r="L24" s="39"/>
      <c r="M24" s="38" t="str">
        <f aca="false">IF(OR($K24="",$L24=""),"",$K24*$L24)</f>
        <v/>
      </c>
      <c r="N24" s="33"/>
      <c r="O24" s="34"/>
      <c r="P24" s="33"/>
      <c r="Q24" s="33"/>
      <c r="R24" s="38" t="str">
        <f aca="false">IF($N24="SI",$M24,"")</f>
        <v/>
      </c>
    </row>
    <row r="25" customFormat="false" ht="15" hidden="false" customHeight="true" outlineLevel="0" collapsed="false">
      <c r="A25" s="33"/>
      <c r="B25" s="33"/>
      <c r="C25" s="34"/>
      <c r="D25" s="35"/>
      <c r="E25" s="35"/>
      <c r="F25" s="36"/>
      <c r="G25" s="37"/>
      <c r="H25" s="38" t="str">
        <f aca="false">IF(OR($F25="",$G25=""),"",$F25*(1-$G25))</f>
        <v/>
      </c>
      <c r="I25" s="36"/>
      <c r="J25" s="38" t="str">
        <f aca="false">IF($H25="","",$H25-IF($I25="",0,$I25))</f>
        <v/>
      </c>
      <c r="K25" s="38" t="str">
        <f aca="false">IF(OR($J25="",$D25=0),"",$J25/$D25)</f>
        <v/>
      </c>
      <c r="L25" s="39"/>
      <c r="M25" s="38" t="str">
        <f aca="false">IF(OR($K25="",$L25=""),"",$K25*$L25)</f>
        <v/>
      </c>
      <c r="N25" s="33"/>
      <c r="O25" s="34"/>
      <c r="P25" s="33"/>
      <c r="Q25" s="33"/>
      <c r="R25" s="38" t="str">
        <f aca="false">IF($N25="SI",$M25,"")</f>
        <v/>
      </c>
    </row>
    <row r="26" customFormat="false" ht="15" hidden="false" customHeight="true" outlineLevel="0" collapsed="false">
      <c r="A26" s="33"/>
      <c r="B26" s="33"/>
      <c r="C26" s="34"/>
      <c r="D26" s="35"/>
      <c r="E26" s="35"/>
      <c r="F26" s="36"/>
      <c r="G26" s="37"/>
      <c r="H26" s="38" t="str">
        <f aca="false">IF(OR($F26="",$G26=""),"",$F26*(1-$G26))</f>
        <v/>
      </c>
      <c r="I26" s="36"/>
      <c r="J26" s="38" t="str">
        <f aca="false">IF($H26="","",$H26-IF($I26="",0,$I26))</f>
        <v/>
      </c>
      <c r="K26" s="38" t="str">
        <f aca="false">IF(OR($J26="",$D26=0),"",$J26/$D26)</f>
        <v/>
      </c>
      <c r="L26" s="39"/>
      <c r="M26" s="38" t="str">
        <f aca="false">IF(OR($K26="",$L26=""),"",$K26*$L26)</f>
        <v/>
      </c>
      <c r="N26" s="33"/>
      <c r="O26" s="34"/>
      <c r="P26" s="33"/>
      <c r="Q26" s="33"/>
      <c r="R26" s="38" t="str">
        <f aca="false">IF($N26="SI",$M26,"")</f>
        <v/>
      </c>
    </row>
    <row r="27" customFormat="false" ht="15" hidden="false" customHeight="true" outlineLevel="0" collapsed="false">
      <c r="A27" s="33"/>
      <c r="B27" s="33"/>
      <c r="C27" s="34"/>
      <c r="D27" s="35"/>
      <c r="E27" s="35"/>
      <c r="F27" s="36"/>
      <c r="G27" s="37"/>
      <c r="H27" s="38" t="str">
        <f aca="false">IF(OR($F27="",$G27=""),"",$F27*(1-$G27))</f>
        <v/>
      </c>
      <c r="I27" s="36"/>
      <c r="J27" s="38" t="str">
        <f aca="false">IF($H27="","",$H27-IF($I27="",0,$I27))</f>
        <v/>
      </c>
      <c r="K27" s="38" t="str">
        <f aca="false">IF(OR($J27="",$D27=0),"",$J27/$D27)</f>
        <v/>
      </c>
      <c r="L27" s="39"/>
      <c r="M27" s="38" t="str">
        <f aca="false">IF(OR($K27="",$L27=""),"",$K27*$L27)</f>
        <v/>
      </c>
      <c r="N27" s="33"/>
      <c r="O27" s="34"/>
      <c r="P27" s="33"/>
      <c r="Q27" s="33"/>
      <c r="R27" s="38" t="str">
        <f aca="false">IF($N27="SI",$M27,"")</f>
        <v/>
      </c>
    </row>
    <row r="28" customFormat="false" ht="15" hidden="false" customHeight="true" outlineLevel="0" collapsed="false">
      <c r="A28" s="33"/>
      <c r="B28" s="33"/>
      <c r="C28" s="34"/>
      <c r="D28" s="35"/>
      <c r="E28" s="35"/>
      <c r="F28" s="36"/>
      <c r="G28" s="37"/>
      <c r="H28" s="38" t="str">
        <f aca="false">IF(OR($F28="",$G28=""),"",$F28*(1-$G28))</f>
        <v/>
      </c>
      <c r="I28" s="36"/>
      <c r="J28" s="38" t="str">
        <f aca="false">IF($H28="","",$H28-IF($I28="",0,$I28))</f>
        <v/>
      </c>
      <c r="K28" s="38" t="str">
        <f aca="false">IF(OR($J28="",$D28=0),"",$J28/$D28)</f>
        <v/>
      </c>
      <c r="L28" s="39"/>
      <c r="M28" s="38" t="str">
        <f aca="false">IF(OR($K28="",$L28=""),"",$K28*$L28)</f>
        <v/>
      </c>
      <c r="N28" s="33"/>
      <c r="O28" s="34"/>
      <c r="P28" s="33"/>
      <c r="Q28" s="33"/>
      <c r="R28" s="38" t="str">
        <f aca="false">IF($N28="SI",$M28,"")</f>
        <v/>
      </c>
    </row>
    <row r="29" customFormat="false" ht="15" hidden="false" customHeight="true" outlineLevel="0" collapsed="false">
      <c r="A29" s="33"/>
      <c r="B29" s="33"/>
      <c r="C29" s="34"/>
      <c r="D29" s="35"/>
      <c r="E29" s="35"/>
      <c r="F29" s="36"/>
      <c r="G29" s="37"/>
      <c r="H29" s="38" t="str">
        <f aca="false">IF(OR($F29="",$G29=""),"",$F29*(1-$G29))</f>
        <v/>
      </c>
      <c r="I29" s="36"/>
      <c r="J29" s="38" t="str">
        <f aca="false">IF($H29="","",$H29-IF($I29="",0,$I29))</f>
        <v/>
      </c>
      <c r="K29" s="38" t="str">
        <f aca="false">IF(OR($J29="",$D29=0),"",$J29/$D29)</f>
        <v/>
      </c>
      <c r="L29" s="39"/>
      <c r="M29" s="38" t="str">
        <f aca="false">IF(OR($K29="",$L29=""),"",$K29*$L29)</f>
        <v/>
      </c>
      <c r="N29" s="33"/>
      <c r="O29" s="34"/>
      <c r="P29" s="33"/>
      <c r="Q29" s="33"/>
      <c r="R29" s="38" t="str">
        <f aca="false">IF($N29="SI",$M29,"")</f>
        <v/>
      </c>
    </row>
    <row r="30" customFormat="false" ht="15" hidden="false" customHeight="true" outlineLevel="0" collapsed="false">
      <c r="A30" s="33"/>
      <c r="B30" s="33"/>
      <c r="C30" s="34"/>
      <c r="D30" s="35"/>
      <c r="E30" s="35"/>
      <c r="F30" s="36"/>
      <c r="G30" s="37"/>
      <c r="H30" s="38" t="str">
        <f aca="false">IF(OR($F30="",$G30=""),"",$F30*(1-$G30))</f>
        <v/>
      </c>
      <c r="I30" s="36"/>
      <c r="J30" s="38" t="str">
        <f aca="false">IF($H30="","",$H30-IF($I30="",0,$I30))</f>
        <v/>
      </c>
      <c r="K30" s="38" t="str">
        <f aca="false">IF(OR($J30="",$D30=0),"",$J30/$D30)</f>
        <v/>
      </c>
      <c r="L30" s="39"/>
      <c r="M30" s="38" t="str">
        <f aca="false">IF(OR($K30="",$L30=""),"",$K30*$L30)</f>
        <v/>
      </c>
      <c r="N30" s="33"/>
      <c r="O30" s="34"/>
      <c r="P30" s="33"/>
      <c r="Q30" s="33"/>
      <c r="R30" s="38" t="str">
        <f aca="false">IF($N30="SI",$M30,"")</f>
        <v/>
      </c>
    </row>
    <row r="31" customFormat="false" ht="15" hidden="false" customHeight="true" outlineLevel="0" collapsed="false">
      <c r="A31" s="33"/>
      <c r="B31" s="33"/>
      <c r="C31" s="34"/>
      <c r="D31" s="35"/>
      <c r="E31" s="35"/>
      <c r="F31" s="36"/>
      <c r="G31" s="37"/>
      <c r="H31" s="38" t="str">
        <f aca="false">IF(OR($F31="",$G31=""),"",$F31*(1-$G31))</f>
        <v/>
      </c>
      <c r="I31" s="36"/>
      <c r="J31" s="38" t="str">
        <f aca="false">IF($H31="","",$H31-IF($I31="",0,$I31))</f>
        <v/>
      </c>
      <c r="K31" s="38" t="str">
        <f aca="false">IF(OR($J31="",$D31=0),"",$J31/$D31)</f>
        <v/>
      </c>
      <c r="L31" s="39"/>
      <c r="M31" s="38" t="str">
        <f aca="false">IF(OR($K31="",$L31=""),"",$K31*$L31)</f>
        <v/>
      </c>
      <c r="N31" s="33"/>
      <c r="O31" s="34"/>
      <c r="P31" s="33"/>
      <c r="Q31" s="33"/>
      <c r="R31" s="38" t="str">
        <f aca="false">IF($N31="SI",$M31,"")</f>
        <v/>
      </c>
    </row>
    <row r="32" customFormat="false" ht="15" hidden="false" customHeight="true" outlineLevel="0" collapsed="false">
      <c r="A32" s="33"/>
      <c r="B32" s="33"/>
      <c r="C32" s="34"/>
      <c r="D32" s="35"/>
      <c r="E32" s="35"/>
      <c r="F32" s="36"/>
      <c r="G32" s="37"/>
      <c r="H32" s="38" t="str">
        <f aca="false">IF(OR($F32="",$G32=""),"",$F32*(1-$G32))</f>
        <v/>
      </c>
      <c r="I32" s="36"/>
      <c r="J32" s="38" t="str">
        <f aca="false">IF($H32="","",$H32-IF($I32="",0,$I32))</f>
        <v/>
      </c>
      <c r="K32" s="38" t="str">
        <f aca="false">IF(OR($J32="",$D32=0),"",$J32/$D32)</f>
        <v/>
      </c>
      <c r="L32" s="39"/>
      <c r="M32" s="38" t="str">
        <f aca="false">IF(OR($K32="",$L32=""),"",$K32*$L32)</f>
        <v/>
      </c>
      <c r="N32" s="33"/>
      <c r="O32" s="34"/>
      <c r="P32" s="33"/>
      <c r="Q32" s="33"/>
      <c r="R32" s="38" t="str">
        <f aca="false">IF($N32="SI",$M32,"")</f>
        <v/>
      </c>
    </row>
    <row r="33" customFormat="false" ht="15" hidden="false" customHeight="true" outlineLevel="0" collapsed="false">
      <c r="A33" s="33"/>
      <c r="B33" s="33"/>
      <c r="C33" s="34"/>
      <c r="D33" s="35"/>
      <c r="E33" s="35"/>
      <c r="F33" s="36"/>
      <c r="G33" s="37"/>
      <c r="H33" s="38" t="str">
        <f aca="false">IF(OR($F33="",$G33=""),"",$F33*(1-$G33))</f>
        <v/>
      </c>
      <c r="I33" s="36"/>
      <c r="J33" s="38" t="str">
        <f aca="false">IF($H33="","",$H33-IF($I33="",0,$I33))</f>
        <v/>
      </c>
      <c r="K33" s="38" t="str">
        <f aca="false">IF(OR($J33="",$D33=0),"",$J33/$D33)</f>
        <v/>
      </c>
      <c r="L33" s="39"/>
      <c r="M33" s="38" t="str">
        <f aca="false">IF(OR($K33="",$L33=""),"",$K33*$L33)</f>
        <v/>
      </c>
      <c r="N33" s="33"/>
      <c r="O33" s="34"/>
      <c r="P33" s="33"/>
      <c r="Q33" s="33"/>
      <c r="R33" s="38" t="str">
        <f aca="false">IF($N33="SI",$M33,"")</f>
        <v/>
      </c>
    </row>
    <row r="34" customFormat="false" ht="15" hidden="false" customHeight="true" outlineLevel="0" collapsed="false">
      <c r="A34" s="33"/>
      <c r="B34" s="33"/>
      <c r="C34" s="34"/>
      <c r="D34" s="35"/>
      <c r="E34" s="35"/>
      <c r="F34" s="36"/>
      <c r="G34" s="37"/>
      <c r="H34" s="38" t="str">
        <f aca="false">IF(OR($F34="",$G34=""),"",$F34*(1-$G34))</f>
        <v/>
      </c>
      <c r="I34" s="36"/>
      <c r="J34" s="38" t="str">
        <f aca="false">IF($H34="","",$H34-IF($I34="",0,$I34))</f>
        <v/>
      </c>
      <c r="K34" s="38" t="str">
        <f aca="false">IF(OR($J34="",$D34=0),"",$J34/$D34)</f>
        <v/>
      </c>
      <c r="L34" s="39"/>
      <c r="M34" s="38" t="str">
        <f aca="false">IF(OR($K34="",$L34=""),"",$K34*$L34)</f>
        <v/>
      </c>
      <c r="N34" s="33"/>
      <c r="O34" s="34"/>
      <c r="P34" s="33"/>
      <c r="Q34" s="33"/>
      <c r="R34" s="38" t="str">
        <f aca="false">IF($N34="SI",$M34,"")</f>
        <v/>
      </c>
    </row>
    <row r="35" customFormat="false" ht="15" hidden="false" customHeight="true" outlineLevel="0" collapsed="false">
      <c r="A35" s="33"/>
      <c r="B35" s="33"/>
      <c r="C35" s="34"/>
      <c r="D35" s="35"/>
      <c r="E35" s="35"/>
      <c r="F35" s="36"/>
      <c r="G35" s="37"/>
      <c r="H35" s="38" t="str">
        <f aca="false">IF(OR($F35="",$G35=""),"",$F35*(1-$G35))</f>
        <v/>
      </c>
      <c r="I35" s="36"/>
      <c r="J35" s="38" t="str">
        <f aca="false">IF($H35="","",$H35-IF($I35="",0,$I35))</f>
        <v/>
      </c>
      <c r="K35" s="38" t="str">
        <f aca="false">IF(OR($J35="",$D35=0),"",$J35/$D35)</f>
        <v/>
      </c>
      <c r="L35" s="39"/>
      <c r="M35" s="38" t="str">
        <f aca="false">IF(OR($K35="",$L35=""),"",$K35*$L35)</f>
        <v/>
      </c>
      <c r="N35" s="33"/>
      <c r="O35" s="34"/>
      <c r="P35" s="33"/>
      <c r="Q35" s="33"/>
      <c r="R35" s="38" t="str">
        <f aca="false">IF($N35="SI",$M35,"")</f>
        <v/>
      </c>
    </row>
    <row r="36" customFormat="false" ht="15" hidden="false" customHeight="true" outlineLevel="0" collapsed="false">
      <c r="A36" s="33"/>
      <c r="B36" s="33"/>
      <c r="C36" s="34"/>
      <c r="D36" s="35"/>
      <c r="E36" s="35"/>
      <c r="F36" s="36"/>
      <c r="G36" s="37"/>
      <c r="H36" s="38" t="str">
        <f aca="false">IF(OR($F36="",$G36=""),"",$F36*(1-$G36))</f>
        <v/>
      </c>
      <c r="I36" s="36"/>
      <c r="J36" s="38" t="str">
        <f aca="false">IF($H36="","",$H36-IF($I36="",0,$I36))</f>
        <v/>
      </c>
      <c r="K36" s="38" t="str">
        <f aca="false">IF(OR($J36="",$D36=0),"",$J36/$D36)</f>
        <v/>
      </c>
      <c r="L36" s="39"/>
      <c r="M36" s="38" t="str">
        <f aca="false">IF(OR($K36="",$L36=""),"",$K36*$L36)</f>
        <v/>
      </c>
      <c r="N36" s="33"/>
      <c r="O36" s="34"/>
      <c r="P36" s="33"/>
      <c r="Q36" s="33"/>
      <c r="R36" s="38" t="str">
        <f aca="false">IF($N36="SI",$M36,"")</f>
        <v/>
      </c>
    </row>
    <row r="37" customFormat="false" ht="15" hidden="false" customHeight="true" outlineLevel="0" collapsed="false">
      <c r="A37" s="33"/>
      <c r="B37" s="33"/>
      <c r="C37" s="34"/>
      <c r="D37" s="35"/>
      <c r="E37" s="35"/>
      <c r="F37" s="36"/>
      <c r="G37" s="37"/>
      <c r="H37" s="38" t="str">
        <f aca="false">IF(OR($F37="",$G37=""),"",$F37*(1-$G37))</f>
        <v/>
      </c>
      <c r="I37" s="36"/>
      <c r="J37" s="38" t="str">
        <f aca="false">IF($H37="","",$H37-IF($I37="",0,$I37))</f>
        <v/>
      </c>
      <c r="K37" s="38" t="str">
        <f aca="false">IF(OR($J37="",$D37=0),"",$J37/$D37)</f>
        <v/>
      </c>
      <c r="L37" s="39"/>
      <c r="M37" s="38" t="str">
        <f aca="false">IF(OR($K37="",$L37=""),"",$K37*$L37)</f>
        <v/>
      </c>
      <c r="N37" s="33"/>
      <c r="O37" s="34"/>
      <c r="P37" s="33"/>
      <c r="Q37" s="33"/>
      <c r="R37" s="38" t="str">
        <f aca="false">IF($N37="SI",$M37,"")</f>
        <v/>
      </c>
    </row>
    <row r="38" customFormat="false" ht="15" hidden="false" customHeight="true" outlineLevel="0" collapsed="false">
      <c r="A38" s="33"/>
      <c r="B38" s="33"/>
      <c r="C38" s="34"/>
      <c r="D38" s="35"/>
      <c r="E38" s="35"/>
      <c r="F38" s="36"/>
      <c r="G38" s="37"/>
      <c r="H38" s="38" t="str">
        <f aca="false">IF(OR($F38="",$G38=""),"",$F38*(1-$G38))</f>
        <v/>
      </c>
      <c r="I38" s="36"/>
      <c r="J38" s="38" t="str">
        <f aca="false">IF($H38="","",$H38-IF($I38="",0,$I38))</f>
        <v/>
      </c>
      <c r="K38" s="38" t="str">
        <f aca="false">IF(OR($J38="",$D38=0),"",$J38/$D38)</f>
        <v/>
      </c>
      <c r="L38" s="39"/>
      <c r="M38" s="38" t="str">
        <f aca="false">IF(OR($K38="",$L38=""),"",$K38*$L38)</f>
        <v/>
      </c>
      <c r="N38" s="33"/>
      <c r="O38" s="34"/>
      <c r="P38" s="33"/>
      <c r="Q38" s="33"/>
      <c r="R38" s="38" t="str">
        <f aca="false">IF($N38="SI",$M38,"")</f>
        <v/>
      </c>
    </row>
    <row r="39" customFormat="false" ht="15" hidden="false" customHeight="true" outlineLevel="0" collapsed="false">
      <c r="A39" s="33"/>
      <c r="B39" s="33"/>
      <c r="C39" s="34"/>
      <c r="D39" s="35"/>
      <c r="E39" s="35"/>
      <c r="F39" s="36"/>
      <c r="G39" s="37"/>
      <c r="H39" s="38" t="str">
        <f aca="false">IF(OR($F39="",$G39=""),"",$F39*(1-$G39))</f>
        <v/>
      </c>
      <c r="I39" s="36"/>
      <c r="J39" s="38" t="str">
        <f aca="false">IF($H39="","",$H39-IF($I39="",0,$I39))</f>
        <v/>
      </c>
      <c r="K39" s="38" t="str">
        <f aca="false">IF(OR($J39="",$D39=0),"",$J39/$D39)</f>
        <v/>
      </c>
      <c r="L39" s="39"/>
      <c r="M39" s="38" t="str">
        <f aca="false">IF(OR($K39="",$L39=""),"",$K39*$L39)</f>
        <v/>
      </c>
      <c r="N39" s="33"/>
      <c r="O39" s="34"/>
      <c r="P39" s="33"/>
      <c r="Q39" s="33"/>
      <c r="R39" s="38" t="str">
        <f aca="false">IF($N39="SI",$M39,"")</f>
        <v/>
      </c>
    </row>
    <row r="40" customFormat="false" ht="15" hidden="false" customHeight="true" outlineLevel="0" collapsed="false">
      <c r="A40" s="33"/>
      <c r="B40" s="33"/>
      <c r="C40" s="34"/>
      <c r="D40" s="35"/>
      <c r="E40" s="35"/>
      <c r="F40" s="36"/>
      <c r="G40" s="37"/>
      <c r="H40" s="38" t="str">
        <f aca="false">IF(OR($F40="",$G40=""),"",$F40*(1-$G40))</f>
        <v/>
      </c>
      <c r="I40" s="36"/>
      <c r="J40" s="38" t="str">
        <f aca="false">IF($H40="","",$H40-IF($I40="",0,$I40))</f>
        <v/>
      </c>
      <c r="K40" s="38" t="str">
        <f aca="false">IF(OR($J40="",$D40=0),"",$J40/$D40)</f>
        <v/>
      </c>
      <c r="L40" s="39"/>
      <c r="M40" s="38" t="str">
        <f aca="false">IF(OR($K40="",$L40=""),"",$K40*$L40)</f>
        <v/>
      </c>
      <c r="N40" s="33"/>
      <c r="O40" s="34"/>
      <c r="P40" s="33"/>
      <c r="Q40" s="33"/>
      <c r="R40" s="38" t="str">
        <f aca="false">IF($N40="SI",$M40,"")</f>
        <v/>
      </c>
    </row>
    <row r="41" customFormat="false" ht="15" hidden="false" customHeight="true" outlineLevel="0" collapsed="false">
      <c r="A41" s="33"/>
      <c r="B41" s="33"/>
      <c r="C41" s="34"/>
      <c r="D41" s="35"/>
      <c r="E41" s="35"/>
      <c r="F41" s="36"/>
      <c r="G41" s="37"/>
      <c r="H41" s="38" t="str">
        <f aca="false">IF(OR($F41="",$G41=""),"",$F41*(1-$G41))</f>
        <v/>
      </c>
      <c r="I41" s="36"/>
      <c r="J41" s="38" t="str">
        <f aca="false">IF($H41="","",$H41-IF($I41="",0,$I41))</f>
        <v/>
      </c>
      <c r="K41" s="38" t="str">
        <f aca="false">IF(OR($J41="",$D41=0),"",$J41/$D41)</f>
        <v/>
      </c>
      <c r="L41" s="39"/>
      <c r="M41" s="38" t="str">
        <f aca="false">IF(OR($K41="",$L41=""),"",$K41*$L41)</f>
        <v/>
      </c>
      <c r="N41" s="33"/>
      <c r="O41" s="34"/>
      <c r="P41" s="33"/>
      <c r="Q41" s="33"/>
      <c r="R41" s="38" t="str">
        <f aca="false">IF($N41="SI",$M41,"")</f>
        <v/>
      </c>
    </row>
    <row r="42" customFormat="false" ht="15" hidden="false" customHeight="true" outlineLevel="0" collapsed="false">
      <c r="A42" s="33"/>
      <c r="B42" s="33"/>
      <c r="C42" s="34"/>
      <c r="D42" s="35"/>
      <c r="E42" s="35"/>
      <c r="F42" s="36"/>
      <c r="G42" s="37"/>
      <c r="H42" s="38" t="str">
        <f aca="false">IF(OR($F42="",$G42=""),"",$F42*(1-$G42))</f>
        <v/>
      </c>
      <c r="I42" s="36"/>
      <c r="J42" s="38" t="str">
        <f aca="false">IF($H42="","",$H42-IF($I42="",0,$I42))</f>
        <v/>
      </c>
      <c r="K42" s="38" t="str">
        <f aca="false">IF(OR($J42="",$D42=0),"",$J42/$D42)</f>
        <v/>
      </c>
      <c r="L42" s="39"/>
      <c r="M42" s="38" t="str">
        <f aca="false">IF(OR($K42="",$L42=""),"",$K42*$L42)</f>
        <v/>
      </c>
      <c r="N42" s="33"/>
      <c r="O42" s="34"/>
      <c r="P42" s="33"/>
      <c r="Q42" s="33"/>
      <c r="R42" s="38" t="str">
        <f aca="false">IF($N42="SI",$M42,"")</f>
        <v/>
      </c>
    </row>
    <row r="43" customFormat="false" ht="15" hidden="false" customHeight="true" outlineLevel="0" collapsed="false">
      <c r="A43" s="33"/>
      <c r="B43" s="33"/>
      <c r="C43" s="34"/>
      <c r="D43" s="35"/>
      <c r="E43" s="35"/>
      <c r="F43" s="36"/>
      <c r="G43" s="37"/>
      <c r="H43" s="38" t="str">
        <f aca="false">IF(OR($F43="",$G43=""),"",$F43*(1-$G43))</f>
        <v/>
      </c>
      <c r="I43" s="36"/>
      <c r="J43" s="38" t="str">
        <f aca="false">IF($H43="","",$H43-IF($I43="",0,$I43))</f>
        <v/>
      </c>
      <c r="K43" s="38" t="str">
        <f aca="false">IF(OR($J43="",$D43=0),"",$J43/$D43)</f>
        <v/>
      </c>
      <c r="L43" s="39"/>
      <c r="M43" s="38" t="str">
        <f aca="false">IF(OR($K43="",$L43=""),"",$K43*$L43)</f>
        <v/>
      </c>
      <c r="N43" s="33"/>
      <c r="O43" s="34"/>
      <c r="P43" s="33"/>
      <c r="Q43" s="33"/>
      <c r="R43" s="38" t="str">
        <f aca="false">IF($N43="SI",$M43,"")</f>
        <v/>
      </c>
    </row>
    <row r="44" customFormat="false" ht="15" hidden="false" customHeight="true" outlineLevel="0" collapsed="false">
      <c r="A44" s="33"/>
      <c r="B44" s="33"/>
      <c r="C44" s="34"/>
      <c r="D44" s="35"/>
      <c r="E44" s="35"/>
      <c r="F44" s="36"/>
      <c r="G44" s="37"/>
      <c r="H44" s="38" t="str">
        <f aca="false">IF(OR($F44="",$G44=""),"",$F44*(1-$G44))</f>
        <v/>
      </c>
      <c r="I44" s="36"/>
      <c r="J44" s="38" t="str">
        <f aca="false">IF($H44="","",$H44-IF($I44="",0,$I44))</f>
        <v/>
      </c>
      <c r="K44" s="38" t="str">
        <f aca="false">IF(OR($J44="",$D44=0),"",$J44/$D44)</f>
        <v/>
      </c>
      <c r="L44" s="39"/>
      <c r="M44" s="38" t="str">
        <f aca="false">IF(OR($K44="",$L44=""),"",$K44*$L44)</f>
        <v/>
      </c>
      <c r="N44" s="33"/>
      <c r="O44" s="34"/>
      <c r="P44" s="33"/>
      <c r="Q44" s="33"/>
      <c r="R44" s="38" t="str">
        <f aca="false">IF($N44="SI",$M44,"")</f>
        <v/>
      </c>
    </row>
    <row r="45" customFormat="false" ht="15" hidden="false" customHeight="true" outlineLevel="0" collapsed="false">
      <c r="A45" s="33"/>
      <c r="B45" s="33"/>
      <c r="C45" s="34"/>
      <c r="D45" s="35"/>
      <c r="E45" s="35"/>
      <c r="F45" s="36"/>
      <c r="G45" s="37"/>
      <c r="H45" s="38" t="str">
        <f aca="false">IF(OR($F45="",$G45=""),"",$F45*(1-$G45))</f>
        <v/>
      </c>
      <c r="I45" s="36"/>
      <c r="J45" s="38" t="str">
        <f aca="false">IF($H45="","",$H45-IF($I45="",0,$I45))</f>
        <v/>
      </c>
      <c r="K45" s="38" t="str">
        <f aca="false">IF(OR($J45="",$D45=0),"",$J45/$D45)</f>
        <v/>
      </c>
      <c r="L45" s="39"/>
      <c r="M45" s="38" t="str">
        <f aca="false">IF(OR($K45="",$L45=""),"",$K45*$L45)</f>
        <v/>
      </c>
      <c r="N45" s="33"/>
      <c r="O45" s="34"/>
      <c r="P45" s="33"/>
      <c r="Q45" s="33"/>
      <c r="R45" s="38" t="str">
        <f aca="false">IF($N45="SI",$M45,"")</f>
        <v/>
      </c>
    </row>
    <row r="46" customFormat="false" ht="15" hidden="false" customHeight="true" outlineLevel="0" collapsed="false">
      <c r="A46" s="33"/>
      <c r="B46" s="33"/>
      <c r="C46" s="34"/>
      <c r="D46" s="35"/>
      <c r="E46" s="35"/>
      <c r="F46" s="36"/>
      <c r="G46" s="37"/>
      <c r="H46" s="38" t="str">
        <f aca="false">IF(OR($F46="",$G46=""),"",$F46*(1-$G46))</f>
        <v/>
      </c>
      <c r="I46" s="36"/>
      <c r="J46" s="38" t="str">
        <f aca="false">IF($H46="","",$H46-IF($I46="",0,$I46))</f>
        <v/>
      </c>
      <c r="K46" s="38" t="str">
        <f aca="false">IF(OR($J46="",$D46=0),"",$J46/$D46)</f>
        <v/>
      </c>
      <c r="L46" s="39"/>
      <c r="M46" s="38" t="str">
        <f aca="false">IF(OR($K46="",$L46=""),"",$K46*$L46)</f>
        <v/>
      </c>
      <c r="N46" s="33"/>
      <c r="O46" s="34"/>
      <c r="P46" s="33"/>
      <c r="Q46" s="33"/>
      <c r="R46" s="38" t="str">
        <f aca="false">IF($N46="SI",$M46,"")</f>
        <v/>
      </c>
    </row>
    <row r="47" customFormat="false" ht="15" hidden="false" customHeight="true" outlineLevel="0" collapsed="false">
      <c r="A47" s="33"/>
      <c r="B47" s="33"/>
      <c r="C47" s="34"/>
      <c r="D47" s="35"/>
      <c r="E47" s="35"/>
      <c r="F47" s="36"/>
      <c r="G47" s="37"/>
      <c r="H47" s="38" t="str">
        <f aca="false">IF(OR($F47="",$G47=""),"",$F47*(1-$G47))</f>
        <v/>
      </c>
      <c r="I47" s="36"/>
      <c r="J47" s="38" t="str">
        <f aca="false">IF($H47="","",$H47-IF($I47="",0,$I47))</f>
        <v/>
      </c>
      <c r="K47" s="38" t="str">
        <f aca="false">IF(OR($J47="",$D47=0),"",$J47/$D47)</f>
        <v/>
      </c>
      <c r="L47" s="39"/>
      <c r="M47" s="38" t="str">
        <f aca="false">IF(OR($K47="",$L47=""),"",$K47*$L47)</f>
        <v/>
      </c>
      <c r="N47" s="33"/>
      <c r="O47" s="34"/>
      <c r="P47" s="33"/>
      <c r="Q47" s="33"/>
      <c r="R47" s="38" t="str">
        <f aca="false">IF($N47="SI",$M47,"")</f>
        <v/>
      </c>
    </row>
    <row r="48" customFormat="false" ht="15" hidden="false" customHeight="true" outlineLevel="0" collapsed="false">
      <c r="A48" s="33"/>
      <c r="B48" s="33"/>
      <c r="C48" s="34"/>
      <c r="D48" s="35"/>
      <c r="E48" s="35"/>
      <c r="F48" s="36"/>
      <c r="G48" s="37"/>
      <c r="H48" s="38" t="str">
        <f aca="false">IF(OR($F48="",$G48=""),"",$F48*(1-$G48))</f>
        <v/>
      </c>
      <c r="I48" s="36"/>
      <c r="J48" s="38" t="str">
        <f aca="false">IF($H48="","",$H48-IF($I48="",0,$I48))</f>
        <v/>
      </c>
      <c r="K48" s="38" t="str">
        <f aca="false">IF(OR($J48="",$D48=0),"",$J48/$D48)</f>
        <v/>
      </c>
      <c r="L48" s="39"/>
      <c r="M48" s="38" t="str">
        <f aca="false">IF(OR($K48="",$L48=""),"",$K48*$L48)</f>
        <v/>
      </c>
      <c r="N48" s="33"/>
      <c r="O48" s="34"/>
      <c r="P48" s="33"/>
      <c r="Q48" s="33"/>
      <c r="R48" s="38" t="str">
        <f aca="false">IF($N48="SI",$M48,"")</f>
        <v/>
      </c>
    </row>
    <row r="49" customFormat="false" ht="15" hidden="false" customHeight="true" outlineLevel="0" collapsed="false">
      <c r="A49" s="33"/>
      <c r="B49" s="33"/>
      <c r="C49" s="34"/>
      <c r="D49" s="35"/>
      <c r="E49" s="35"/>
      <c r="F49" s="36"/>
      <c r="G49" s="37"/>
      <c r="H49" s="38" t="str">
        <f aca="false">IF(OR($F49="",$G49=""),"",$F49*(1-$G49))</f>
        <v/>
      </c>
      <c r="I49" s="36"/>
      <c r="J49" s="38" t="str">
        <f aca="false">IF($H49="","",$H49-IF($I49="",0,$I49))</f>
        <v/>
      </c>
      <c r="K49" s="38" t="str">
        <f aca="false">IF(OR($J49="",$D49=0),"",$J49/$D49)</f>
        <v/>
      </c>
      <c r="L49" s="39"/>
      <c r="M49" s="38" t="str">
        <f aca="false">IF(OR($K49="",$L49=""),"",$K49*$L49)</f>
        <v/>
      </c>
      <c r="N49" s="33"/>
      <c r="O49" s="34"/>
      <c r="P49" s="33"/>
      <c r="Q49" s="33"/>
      <c r="R49" s="38" t="str">
        <f aca="false">IF($N49="SI",$M49,"")</f>
        <v/>
      </c>
    </row>
    <row r="50" customFormat="false" ht="15" hidden="false" customHeight="true" outlineLevel="0" collapsed="false">
      <c r="A50" s="33"/>
      <c r="B50" s="33"/>
      <c r="C50" s="34"/>
      <c r="D50" s="35"/>
      <c r="E50" s="35"/>
      <c r="F50" s="36"/>
      <c r="G50" s="37"/>
      <c r="H50" s="38" t="str">
        <f aca="false">IF(OR($F50="",$G50=""),"",$F50*(1-$G50))</f>
        <v/>
      </c>
      <c r="I50" s="36"/>
      <c r="J50" s="38" t="str">
        <f aca="false">IF($H50="","",$H50-IF($I50="",0,$I50))</f>
        <v/>
      </c>
      <c r="K50" s="38" t="str">
        <f aca="false">IF(OR($J50="",$D50=0),"",$J50/$D50)</f>
        <v/>
      </c>
      <c r="L50" s="39"/>
      <c r="M50" s="38" t="str">
        <f aca="false">IF(OR($K50="",$L50=""),"",$K50*$L50)</f>
        <v/>
      </c>
      <c r="N50" s="33"/>
      <c r="O50" s="34"/>
      <c r="P50" s="33"/>
      <c r="Q50" s="33"/>
      <c r="R50" s="38" t="str">
        <f aca="false">IF($N50="SI",$M50,"")</f>
        <v/>
      </c>
    </row>
    <row r="51" customFormat="false" ht="15" hidden="false" customHeight="true" outlineLevel="0" collapsed="false">
      <c r="A51" s="33"/>
      <c r="B51" s="33"/>
      <c r="C51" s="34"/>
      <c r="D51" s="35"/>
      <c r="E51" s="35"/>
      <c r="F51" s="36"/>
      <c r="G51" s="37"/>
      <c r="H51" s="38" t="str">
        <f aca="false">IF(OR($F51="",$G51=""),"",$F51*(1-$G51))</f>
        <v/>
      </c>
      <c r="I51" s="36"/>
      <c r="J51" s="38" t="str">
        <f aca="false">IF($H51="","",$H51-IF($I51="",0,$I51))</f>
        <v/>
      </c>
      <c r="K51" s="38" t="str">
        <f aca="false">IF(OR($J51="",$D51=0),"",$J51/$D51)</f>
        <v/>
      </c>
      <c r="L51" s="39"/>
      <c r="M51" s="38" t="str">
        <f aca="false">IF(OR($K51="",$L51=""),"",$K51*$L51)</f>
        <v/>
      </c>
      <c r="N51" s="33"/>
      <c r="O51" s="34"/>
      <c r="P51" s="33"/>
      <c r="Q51" s="33"/>
      <c r="R51" s="38" t="str">
        <f aca="false">IF($N51="SI",$M51,"")</f>
        <v/>
      </c>
    </row>
    <row r="52" customFormat="false" ht="15" hidden="false" customHeight="true" outlineLevel="0" collapsed="false">
      <c r="A52" s="33"/>
      <c r="B52" s="33"/>
      <c r="C52" s="34"/>
      <c r="D52" s="35"/>
      <c r="E52" s="35"/>
      <c r="F52" s="36"/>
      <c r="G52" s="37"/>
      <c r="H52" s="38" t="str">
        <f aca="false">IF(OR($F52="",$G52=""),"",$F52*(1-$G52))</f>
        <v/>
      </c>
      <c r="I52" s="36"/>
      <c r="J52" s="38" t="str">
        <f aca="false">IF($H52="","",$H52-IF($I52="",0,$I52))</f>
        <v/>
      </c>
      <c r="K52" s="38" t="str">
        <f aca="false">IF(OR($J52="",$D52=0),"",$J52/$D52)</f>
        <v/>
      </c>
      <c r="L52" s="39"/>
      <c r="M52" s="38" t="str">
        <f aca="false">IF(OR($K52="",$L52=""),"",$K52*$L52)</f>
        <v/>
      </c>
      <c r="N52" s="33"/>
      <c r="O52" s="34"/>
      <c r="P52" s="33"/>
      <c r="Q52" s="33"/>
      <c r="R52" s="38" t="str">
        <f aca="false">IF($N52="SI",$M52,"")</f>
        <v/>
      </c>
    </row>
    <row r="53" customFormat="false" ht="15" hidden="false" customHeight="true" outlineLevel="0" collapsed="false">
      <c r="A53" s="33"/>
      <c r="B53" s="33"/>
      <c r="C53" s="34"/>
      <c r="D53" s="35"/>
      <c r="E53" s="35"/>
      <c r="F53" s="36"/>
      <c r="G53" s="37"/>
      <c r="H53" s="38" t="str">
        <f aca="false">IF(OR($F53="",$G53=""),"",$F53*(1-$G53))</f>
        <v/>
      </c>
      <c r="I53" s="36"/>
      <c r="J53" s="38" t="str">
        <f aca="false">IF($H53="","",$H53-IF($I53="",0,$I53))</f>
        <v/>
      </c>
      <c r="K53" s="38" t="str">
        <f aca="false">IF(OR($J53="",$D53=0),"",$J53/$D53)</f>
        <v/>
      </c>
      <c r="L53" s="39"/>
      <c r="M53" s="38" t="str">
        <f aca="false">IF(OR($K53="",$L53=""),"",$K53*$L53)</f>
        <v/>
      </c>
      <c r="N53" s="33"/>
      <c r="O53" s="34"/>
      <c r="P53" s="33"/>
      <c r="Q53" s="33"/>
      <c r="R53" s="38" t="str">
        <f aca="false">IF($N53="SI",$M53,"")</f>
        <v/>
      </c>
    </row>
    <row r="54" customFormat="false" ht="15" hidden="false" customHeight="true" outlineLevel="0" collapsed="false">
      <c r="A54" s="33"/>
      <c r="B54" s="33"/>
      <c r="C54" s="34"/>
      <c r="D54" s="35"/>
      <c r="E54" s="35"/>
      <c r="F54" s="36"/>
      <c r="G54" s="37"/>
      <c r="H54" s="38" t="str">
        <f aca="false">IF(OR($F54="",$G54=""),"",$F54*(1-$G54))</f>
        <v/>
      </c>
      <c r="I54" s="36"/>
      <c r="J54" s="38" t="str">
        <f aca="false">IF($H54="","",$H54-IF($I54="",0,$I54))</f>
        <v/>
      </c>
      <c r="K54" s="38" t="str">
        <f aca="false">IF(OR($J54="",$D54=0),"",$J54/$D54)</f>
        <v/>
      </c>
      <c r="L54" s="39"/>
      <c r="M54" s="38" t="str">
        <f aca="false">IF(OR($K54="",$L54=""),"",$K54*$L54)</f>
        <v/>
      </c>
      <c r="N54" s="33"/>
      <c r="O54" s="34"/>
      <c r="P54" s="33"/>
      <c r="Q54" s="33"/>
      <c r="R54" s="38" t="str">
        <f aca="false">IF($N54="SI",$M54,"")</f>
        <v/>
      </c>
    </row>
    <row r="55" customFormat="false" ht="15" hidden="false" customHeight="true" outlineLevel="0" collapsed="false">
      <c r="A55" s="33"/>
      <c r="B55" s="33"/>
      <c r="C55" s="34"/>
      <c r="D55" s="35"/>
      <c r="E55" s="35"/>
      <c r="F55" s="36"/>
      <c r="G55" s="37"/>
      <c r="H55" s="38" t="str">
        <f aca="false">IF(OR($F55="",$G55=""),"",$F55*(1-$G55))</f>
        <v/>
      </c>
      <c r="I55" s="36"/>
      <c r="J55" s="38" t="str">
        <f aca="false">IF($H55="","",$H55-IF($I55="",0,$I55))</f>
        <v/>
      </c>
      <c r="K55" s="38" t="str">
        <f aca="false">IF(OR($J55="",$D55=0),"",$J55/$D55)</f>
        <v/>
      </c>
      <c r="L55" s="39"/>
      <c r="M55" s="38" t="str">
        <f aca="false">IF(OR($K55="",$L55=""),"",$K55*$L55)</f>
        <v/>
      </c>
      <c r="N55" s="33"/>
      <c r="O55" s="34"/>
      <c r="P55" s="33"/>
      <c r="Q55" s="33"/>
      <c r="R55" s="38" t="str">
        <f aca="false">IF($N55="SI",$M55,"")</f>
        <v/>
      </c>
    </row>
    <row r="56" customFormat="false" ht="15" hidden="false" customHeight="true" outlineLevel="0" collapsed="false">
      <c r="A56" s="33"/>
      <c r="B56" s="33"/>
      <c r="C56" s="34"/>
      <c r="D56" s="35"/>
      <c r="E56" s="35"/>
      <c r="F56" s="36"/>
      <c r="G56" s="37"/>
      <c r="H56" s="38" t="str">
        <f aca="false">IF(OR($F56="",$G56=""),"",$F56*(1-$G56))</f>
        <v/>
      </c>
      <c r="I56" s="36"/>
      <c r="J56" s="38" t="str">
        <f aca="false">IF($H56="","",$H56-IF($I56="",0,$I56))</f>
        <v/>
      </c>
      <c r="K56" s="38" t="str">
        <f aca="false">IF(OR($J56="",$D56=0),"",$J56/$D56)</f>
        <v/>
      </c>
      <c r="L56" s="39"/>
      <c r="M56" s="38" t="str">
        <f aca="false">IF(OR($K56="",$L56=""),"",$K56*$L56)</f>
        <v/>
      </c>
      <c r="N56" s="33"/>
      <c r="O56" s="34"/>
      <c r="P56" s="33"/>
      <c r="Q56" s="33"/>
      <c r="R56" s="38" t="str">
        <f aca="false">IF($N56="SI",$M56,"")</f>
        <v/>
      </c>
    </row>
    <row r="57" customFormat="false" ht="15" hidden="false" customHeight="true" outlineLevel="0" collapsed="false">
      <c r="A57" s="33"/>
      <c r="B57" s="33"/>
      <c r="C57" s="34"/>
      <c r="D57" s="35"/>
      <c r="E57" s="35"/>
      <c r="F57" s="36"/>
      <c r="G57" s="37"/>
      <c r="H57" s="38" t="str">
        <f aca="false">IF(OR($F57="",$G57=""),"",$F57*(1-$G57))</f>
        <v/>
      </c>
      <c r="I57" s="36"/>
      <c r="J57" s="38" t="str">
        <f aca="false">IF($H57="","",$H57-IF($I57="",0,$I57))</f>
        <v/>
      </c>
      <c r="K57" s="38" t="str">
        <f aca="false">IF(OR($J57="",$D57=0),"",$J57/$D57)</f>
        <v/>
      </c>
      <c r="L57" s="39"/>
      <c r="M57" s="38" t="str">
        <f aca="false">IF(OR($K57="",$L57=""),"",$K57*$L57)</f>
        <v/>
      </c>
      <c r="N57" s="33"/>
      <c r="O57" s="34"/>
      <c r="P57" s="33"/>
      <c r="Q57" s="33"/>
      <c r="R57" s="38" t="str">
        <f aca="false">IF($N57="SI",$M57,"")</f>
        <v/>
      </c>
    </row>
    <row r="58" customFormat="false" ht="15" hidden="false" customHeight="true" outlineLevel="0" collapsed="false">
      <c r="A58" s="33"/>
      <c r="B58" s="33"/>
      <c r="C58" s="34"/>
      <c r="D58" s="35"/>
      <c r="E58" s="35"/>
      <c r="F58" s="36"/>
      <c r="G58" s="37"/>
      <c r="H58" s="38" t="str">
        <f aca="false">IF(OR($F58="",$G58=""),"",$F58*(1-$G58))</f>
        <v/>
      </c>
      <c r="I58" s="36"/>
      <c r="J58" s="38" t="str">
        <f aca="false">IF($H58="","",$H58-IF($I58="",0,$I58))</f>
        <v/>
      </c>
      <c r="K58" s="38" t="str">
        <f aca="false">IF(OR($J58="",$D58=0),"",$J58/$D58)</f>
        <v/>
      </c>
      <c r="L58" s="39"/>
      <c r="M58" s="38" t="str">
        <f aca="false">IF(OR($K58="",$L58=""),"",$K58*$L58)</f>
        <v/>
      </c>
      <c r="N58" s="33"/>
      <c r="O58" s="34"/>
      <c r="P58" s="33"/>
      <c r="Q58" s="33"/>
      <c r="R58" s="38" t="str">
        <f aca="false">IF($N58="SI",$M58,"")</f>
        <v/>
      </c>
    </row>
    <row r="59" customFormat="false" ht="15" hidden="false" customHeight="true" outlineLevel="0" collapsed="false">
      <c r="A59" s="33"/>
      <c r="B59" s="33"/>
      <c r="C59" s="34"/>
      <c r="D59" s="35"/>
      <c r="E59" s="35"/>
      <c r="F59" s="36"/>
      <c r="G59" s="37"/>
      <c r="H59" s="38" t="str">
        <f aca="false">IF(OR($F59="",$G59=""),"",$F59*(1-$G59))</f>
        <v/>
      </c>
      <c r="I59" s="36"/>
      <c r="J59" s="38" t="str">
        <f aca="false">IF($H59="","",$H59-IF($I59="",0,$I59))</f>
        <v/>
      </c>
      <c r="K59" s="38" t="str">
        <f aca="false">IF(OR($J59="",$D59=0),"",$J59/$D59)</f>
        <v/>
      </c>
      <c r="L59" s="39"/>
      <c r="M59" s="38" t="str">
        <f aca="false">IF(OR($K59="",$L59=""),"",$K59*$L59)</f>
        <v/>
      </c>
      <c r="N59" s="33"/>
      <c r="O59" s="34"/>
      <c r="P59" s="33"/>
      <c r="Q59" s="33"/>
      <c r="R59" s="38" t="str">
        <f aca="false">IF($N59="SI",$M59,"")</f>
        <v/>
      </c>
    </row>
    <row r="60" customFormat="false" ht="15" hidden="false" customHeight="true" outlineLevel="0" collapsed="false">
      <c r="A60" s="33"/>
      <c r="B60" s="33"/>
      <c r="C60" s="34"/>
      <c r="D60" s="35"/>
      <c r="E60" s="35"/>
      <c r="F60" s="36"/>
      <c r="G60" s="37"/>
      <c r="H60" s="38" t="str">
        <f aca="false">IF(OR($F60="",$G60=""),"",$F60*(1-$G60))</f>
        <v/>
      </c>
      <c r="I60" s="36"/>
      <c r="J60" s="38" t="str">
        <f aca="false">IF($H60="","",$H60-IF($I60="",0,$I60))</f>
        <v/>
      </c>
      <c r="K60" s="38" t="str">
        <f aca="false">IF(OR($J60="",$D60=0),"",$J60/$D60)</f>
        <v/>
      </c>
      <c r="L60" s="39"/>
      <c r="M60" s="38" t="str">
        <f aca="false">IF(OR($K60="",$L60=""),"",$K60*$L60)</f>
        <v/>
      </c>
      <c r="N60" s="33"/>
      <c r="O60" s="34"/>
      <c r="P60" s="33"/>
      <c r="Q60" s="33"/>
      <c r="R60" s="38" t="str">
        <f aca="false">IF($N60="SI",$M60,"")</f>
        <v/>
      </c>
    </row>
    <row r="61" customFormat="false" ht="15" hidden="false" customHeight="true" outlineLevel="0" collapsed="false">
      <c r="A61" s="33"/>
      <c r="B61" s="33"/>
      <c r="C61" s="34"/>
      <c r="D61" s="35"/>
      <c r="E61" s="35"/>
      <c r="F61" s="36"/>
      <c r="G61" s="37"/>
      <c r="H61" s="38" t="str">
        <f aca="false">IF(OR($F61="",$G61=""),"",$F61*(1-$G61))</f>
        <v/>
      </c>
      <c r="I61" s="36"/>
      <c r="J61" s="38" t="str">
        <f aca="false">IF($H61="","",$H61-IF($I61="",0,$I61))</f>
        <v/>
      </c>
      <c r="K61" s="38" t="str">
        <f aca="false">IF(OR($J61="",$D61=0),"",$J61/$D61)</f>
        <v/>
      </c>
      <c r="L61" s="39"/>
      <c r="M61" s="38" t="str">
        <f aca="false">IF(OR($K61="",$L61=""),"",$K61*$L61)</f>
        <v/>
      </c>
      <c r="N61" s="33"/>
      <c r="O61" s="34"/>
      <c r="P61" s="33"/>
      <c r="Q61" s="33"/>
      <c r="R61" s="38" t="str">
        <f aca="false">IF($N61="SI",$M61,"")</f>
        <v/>
      </c>
    </row>
    <row r="62" customFormat="false" ht="15" hidden="false" customHeight="true" outlineLevel="0" collapsed="false">
      <c r="A62" s="33"/>
      <c r="B62" s="33"/>
      <c r="C62" s="34"/>
      <c r="D62" s="35"/>
      <c r="E62" s="35"/>
      <c r="F62" s="36"/>
      <c r="G62" s="37"/>
      <c r="H62" s="38" t="str">
        <f aca="false">IF(OR($F62="",$G62=""),"",$F62*(1-$G62))</f>
        <v/>
      </c>
      <c r="I62" s="36"/>
      <c r="J62" s="38" t="str">
        <f aca="false">IF($H62="","",$H62-IF($I62="",0,$I62))</f>
        <v/>
      </c>
      <c r="K62" s="38" t="str">
        <f aca="false">IF(OR($J62="",$D62=0),"",$J62/$D62)</f>
        <v/>
      </c>
      <c r="L62" s="39"/>
      <c r="M62" s="38" t="str">
        <f aca="false">IF(OR($K62="",$L62=""),"",$K62*$L62)</f>
        <v/>
      </c>
      <c r="N62" s="33"/>
      <c r="O62" s="34"/>
      <c r="P62" s="33"/>
      <c r="Q62" s="33"/>
      <c r="R62" s="38" t="str">
        <f aca="false">IF($N62="SI",$M62,"")</f>
        <v/>
      </c>
    </row>
    <row r="63" customFormat="false" ht="15" hidden="false" customHeight="true" outlineLevel="0" collapsed="false">
      <c r="A63" s="33"/>
      <c r="B63" s="33"/>
      <c r="C63" s="34"/>
      <c r="D63" s="35"/>
      <c r="E63" s="35"/>
      <c r="F63" s="36"/>
      <c r="G63" s="37"/>
      <c r="H63" s="38" t="str">
        <f aca="false">IF(OR($F63="",$G63=""),"",$F63*(1-$G63))</f>
        <v/>
      </c>
      <c r="I63" s="36"/>
      <c r="J63" s="38" t="str">
        <f aca="false">IF($H63="","",$H63-IF($I63="",0,$I63))</f>
        <v/>
      </c>
      <c r="K63" s="38" t="str">
        <f aca="false">IF(OR($J63="",$D63=0),"",$J63/$D63)</f>
        <v/>
      </c>
      <c r="L63" s="39"/>
      <c r="M63" s="38" t="str">
        <f aca="false">IF(OR($K63="",$L63=""),"",$K63*$L63)</f>
        <v/>
      </c>
      <c r="N63" s="33"/>
      <c r="O63" s="34"/>
      <c r="P63" s="33"/>
      <c r="Q63" s="33"/>
      <c r="R63" s="38" t="str">
        <f aca="false">IF($N63="SI",$M63,"")</f>
        <v/>
      </c>
    </row>
    <row r="64" customFormat="false" ht="15" hidden="false" customHeight="true" outlineLevel="0" collapsed="false">
      <c r="A64" s="33"/>
      <c r="B64" s="33"/>
      <c r="C64" s="34"/>
      <c r="D64" s="35"/>
      <c r="E64" s="35"/>
      <c r="F64" s="36"/>
      <c r="G64" s="37"/>
      <c r="H64" s="38" t="str">
        <f aca="false">IF(OR($F64="",$G64=""),"",$F64*(1-$G64))</f>
        <v/>
      </c>
      <c r="I64" s="36"/>
      <c r="J64" s="38" t="str">
        <f aca="false">IF($H64="","",$H64-IF($I64="",0,$I64))</f>
        <v/>
      </c>
      <c r="K64" s="38" t="str">
        <f aca="false">IF(OR($J64="",$D64=0),"",$J64/$D64)</f>
        <v/>
      </c>
      <c r="L64" s="39"/>
      <c r="M64" s="38" t="str">
        <f aca="false">IF(OR($K64="",$L64=""),"",$K64*$L64)</f>
        <v/>
      </c>
      <c r="N64" s="33"/>
      <c r="O64" s="34"/>
      <c r="P64" s="33"/>
      <c r="Q64" s="33"/>
      <c r="R64" s="38" t="str">
        <f aca="false">IF($N64="SI",$M64,"")</f>
        <v/>
      </c>
    </row>
    <row r="65" customFormat="false" ht="15" hidden="false" customHeight="true" outlineLevel="0" collapsed="false">
      <c r="A65" s="33"/>
      <c r="B65" s="33"/>
      <c r="C65" s="34"/>
      <c r="D65" s="35"/>
      <c r="E65" s="35"/>
      <c r="F65" s="36"/>
      <c r="G65" s="37"/>
      <c r="H65" s="38" t="str">
        <f aca="false">IF(OR($F65="",$G65=""),"",$F65*(1-$G65))</f>
        <v/>
      </c>
      <c r="I65" s="36"/>
      <c r="J65" s="38" t="str">
        <f aca="false">IF($H65="","",$H65-IF($I65="",0,$I65))</f>
        <v/>
      </c>
      <c r="K65" s="38" t="str">
        <f aca="false">IF(OR($J65="",$D65=0),"",$J65/$D65)</f>
        <v/>
      </c>
      <c r="L65" s="39"/>
      <c r="M65" s="38" t="str">
        <f aca="false">IF(OR($K65="",$L65=""),"",$K65*$L65)</f>
        <v/>
      </c>
      <c r="N65" s="33"/>
      <c r="O65" s="34"/>
      <c r="P65" s="33"/>
      <c r="Q65" s="33"/>
      <c r="R65" s="38" t="str">
        <f aca="false">IF($N65="SI",$M65,"")</f>
        <v/>
      </c>
    </row>
    <row r="66" customFormat="false" ht="15" hidden="false" customHeight="true" outlineLevel="0" collapsed="false">
      <c r="A66" s="33"/>
      <c r="B66" s="33"/>
      <c r="C66" s="34"/>
      <c r="D66" s="35"/>
      <c r="E66" s="35"/>
      <c r="F66" s="36"/>
      <c r="G66" s="37"/>
      <c r="H66" s="38" t="str">
        <f aca="false">IF(OR($F66="",$G66=""),"",$F66*(1-$G66))</f>
        <v/>
      </c>
      <c r="I66" s="36"/>
      <c r="J66" s="38" t="str">
        <f aca="false">IF($H66="","",$H66-IF($I66="",0,$I66))</f>
        <v/>
      </c>
      <c r="K66" s="38" t="str">
        <f aca="false">IF(OR($J66="",$D66=0),"",$J66/$D66)</f>
        <v/>
      </c>
      <c r="L66" s="39"/>
      <c r="M66" s="38" t="str">
        <f aca="false">IF(OR($K66="",$L66=""),"",$K66*$L66)</f>
        <v/>
      </c>
      <c r="N66" s="33"/>
      <c r="O66" s="34"/>
      <c r="P66" s="33"/>
      <c r="Q66" s="33"/>
      <c r="R66" s="38" t="str">
        <f aca="false">IF($N66="SI",$M66,"")</f>
        <v/>
      </c>
    </row>
    <row r="67" customFormat="false" ht="15" hidden="false" customHeight="true" outlineLevel="0" collapsed="false">
      <c r="A67" s="33"/>
      <c r="B67" s="33"/>
      <c r="C67" s="34"/>
      <c r="D67" s="35"/>
      <c r="E67" s="35"/>
      <c r="F67" s="36"/>
      <c r="G67" s="37"/>
      <c r="H67" s="38" t="str">
        <f aca="false">IF(OR($F67="",$G67=""),"",$F67*(1-$G67))</f>
        <v/>
      </c>
      <c r="I67" s="36"/>
      <c r="J67" s="38" t="str">
        <f aca="false">IF($H67="","",$H67-IF($I67="",0,$I67))</f>
        <v/>
      </c>
      <c r="K67" s="38" t="str">
        <f aca="false">IF(OR($J67="",$D67=0),"",$J67/$D67)</f>
        <v/>
      </c>
      <c r="L67" s="39"/>
      <c r="M67" s="38" t="str">
        <f aca="false">IF(OR($K67="",$L67=""),"",$K67*$L67)</f>
        <v/>
      </c>
      <c r="N67" s="33"/>
      <c r="O67" s="34"/>
      <c r="P67" s="33"/>
      <c r="Q67" s="33"/>
      <c r="R67" s="38" t="str">
        <f aca="false">IF($N67="SI",$M67,"")</f>
        <v/>
      </c>
    </row>
    <row r="68" customFormat="false" ht="15" hidden="false" customHeight="true" outlineLevel="0" collapsed="false">
      <c r="A68" s="33"/>
      <c r="B68" s="33"/>
      <c r="C68" s="34"/>
      <c r="D68" s="35"/>
      <c r="E68" s="35"/>
      <c r="F68" s="36"/>
      <c r="G68" s="37"/>
      <c r="H68" s="38" t="str">
        <f aca="false">IF(OR($F68="",$G68=""),"",$F68*(1-$G68))</f>
        <v/>
      </c>
      <c r="I68" s="36"/>
      <c r="J68" s="38" t="str">
        <f aca="false">IF($H68="","",$H68-IF($I68="",0,$I68))</f>
        <v/>
      </c>
      <c r="K68" s="38" t="str">
        <f aca="false">IF(OR($J68="",$D68=0),"",$J68/$D68)</f>
        <v/>
      </c>
      <c r="L68" s="39"/>
      <c r="M68" s="38" t="str">
        <f aca="false">IF(OR($K68="",$L68=""),"",$K68*$L68)</f>
        <v/>
      </c>
      <c r="N68" s="33"/>
      <c r="O68" s="34"/>
      <c r="P68" s="33"/>
      <c r="Q68" s="33"/>
      <c r="R68" s="38" t="str">
        <f aca="false">IF($N68="SI",$M68,"")</f>
        <v/>
      </c>
    </row>
    <row r="69" customFormat="false" ht="15" hidden="false" customHeight="true" outlineLevel="0" collapsed="false">
      <c r="A69" s="33"/>
      <c r="B69" s="33"/>
      <c r="C69" s="34"/>
      <c r="D69" s="35"/>
      <c r="E69" s="35"/>
      <c r="F69" s="36"/>
      <c r="G69" s="37"/>
      <c r="H69" s="38" t="str">
        <f aca="false">IF(OR($F69="",$G69=""),"",$F69*(1-$G69))</f>
        <v/>
      </c>
      <c r="I69" s="36"/>
      <c r="J69" s="38" t="str">
        <f aca="false">IF($H69="","",$H69-IF($I69="",0,$I69))</f>
        <v/>
      </c>
      <c r="K69" s="38" t="str">
        <f aca="false">IF(OR($J69="",$D69=0),"",$J69/$D69)</f>
        <v/>
      </c>
      <c r="L69" s="39"/>
      <c r="M69" s="38" t="str">
        <f aca="false">IF(OR($K69="",$L69=""),"",$K69*$L69)</f>
        <v/>
      </c>
      <c r="N69" s="33"/>
      <c r="O69" s="34"/>
      <c r="P69" s="33"/>
      <c r="Q69" s="33"/>
      <c r="R69" s="38" t="str">
        <f aca="false">IF($N69="SI",$M69,"")</f>
        <v/>
      </c>
    </row>
    <row r="70" customFormat="false" ht="15" hidden="false" customHeight="true" outlineLevel="0" collapsed="false">
      <c r="A70" s="33"/>
      <c r="B70" s="33"/>
      <c r="C70" s="34"/>
      <c r="D70" s="35"/>
      <c r="E70" s="35"/>
      <c r="F70" s="36"/>
      <c r="G70" s="37"/>
      <c r="H70" s="38" t="str">
        <f aca="false">IF(OR($F70="",$G70=""),"",$F70*(1-$G70))</f>
        <v/>
      </c>
      <c r="I70" s="36"/>
      <c r="J70" s="38" t="str">
        <f aca="false">IF($H70="","",$H70-IF($I70="",0,$I70))</f>
        <v/>
      </c>
      <c r="K70" s="38" t="str">
        <f aca="false">IF(OR($J70="",$D70=0),"",$J70/$D70)</f>
        <v/>
      </c>
      <c r="L70" s="39"/>
      <c r="M70" s="38" t="str">
        <f aca="false">IF(OR($K70="",$L70=""),"",$K70*$L70)</f>
        <v/>
      </c>
      <c r="N70" s="33"/>
      <c r="O70" s="34"/>
      <c r="P70" s="33"/>
      <c r="Q70" s="33"/>
      <c r="R70" s="38" t="str">
        <f aca="false">IF($N70="SI",$M70,"")</f>
        <v/>
      </c>
    </row>
    <row r="71" customFormat="false" ht="15" hidden="false" customHeight="true" outlineLevel="0" collapsed="false">
      <c r="A71" s="33"/>
      <c r="B71" s="33"/>
      <c r="C71" s="34"/>
      <c r="D71" s="35"/>
      <c r="E71" s="35"/>
      <c r="F71" s="36"/>
      <c r="G71" s="37"/>
      <c r="H71" s="38" t="str">
        <f aca="false">IF(OR($F71="",$G71=""),"",$F71*(1-$G71))</f>
        <v/>
      </c>
      <c r="I71" s="36"/>
      <c r="J71" s="38" t="str">
        <f aca="false">IF($H71="","",$H71-IF($I71="",0,$I71))</f>
        <v/>
      </c>
      <c r="K71" s="38" t="str">
        <f aca="false">IF(OR($J71="",$D71=0),"",$J71/$D71)</f>
        <v/>
      </c>
      <c r="L71" s="39"/>
      <c r="M71" s="38" t="str">
        <f aca="false">IF(OR($K71="",$L71=""),"",$K71*$L71)</f>
        <v/>
      </c>
      <c r="N71" s="33"/>
      <c r="O71" s="34"/>
      <c r="P71" s="33"/>
      <c r="Q71" s="33"/>
      <c r="R71" s="38" t="str">
        <f aca="false">IF($N71="SI",$M71,"")</f>
        <v/>
      </c>
    </row>
    <row r="72" customFormat="false" ht="15" hidden="false" customHeight="true" outlineLevel="0" collapsed="false">
      <c r="A72" s="33"/>
      <c r="B72" s="33"/>
      <c r="C72" s="34"/>
      <c r="D72" s="35"/>
      <c r="E72" s="35"/>
      <c r="F72" s="36"/>
      <c r="G72" s="37"/>
      <c r="H72" s="38" t="str">
        <f aca="false">IF(OR($F72="",$G72=""),"",$F72*(1-$G72))</f>
        <v/>
      </c>
      <c r="I72" s="36"/>
      <c r="J72" s="38" t="str">
        <f aca="false">IF($H72="","",$H72-IF($I72="",0,$I72))</f>
        <v/>
      </c>
      <c r="K72" s="38" t="str">
        <f aca="false">IF(OR($J72="",$D72=0),"",$J72/$D72)</f>
        <v/>
      </c>
      <c r="L72" s="39"/>
      <c r="M72" s="38" t="str">
        <f aca="false">IF(OR($K72="",$L72=""),"",$K72*$L72)</f>
        <v/>
      </c>
      <c r="N72" s="33"/>
      <c r="O72" s="34"/>
      <c r="P72" s="33"/>
      <c r="Q72" s="33"/>
      <c r="R72" s="38" t="str">
        <f aca="false">IF($N72="SI",$M72,"")</f>
        <v/>
      </c>
    </row>
    <row r="73" customFormat="false" ht="15" hidden="false" customHeight="true" outlineLevel="0" collapsed="false">
      <c r="A73" s="33"/>
      <c r="B73" s="33"/>
      <c r="C73" s="34"/>
      <c r="D73" s="35"/>
      <c r="E73" s="35"/>
      <c r="F73" s="36"/>
      <c r="G73" s="37"/>
      <c r="H73" s="38" t="str">
        <f aca="false">IF(OR($F73="",$G73=""),"",$F73*(1-$G73))</f>
        <v/>
      </c>
      <c r="I73" s="36"/>
      <c r="J73" s="38" t="str">
        <f aca="false">IF($H73="","",$H73-IF($I73="",0,$I73))</f>
        <v/>
      </c>
      <c r="K73" s="38" t="str">
        <f aca="false">IF(OR($J73="",$D73=0),"",$J73/$D73)</f>
        <v/>
      </c>
      <c r="L73" s="39"/>
      <c r="M73" s="38" t="str">
        <f aca="false">IF(OR($K73="",$L73=""),"",$K73*$L73)</f>
        <v/>
      </c>
      <c r="N73" s="33"/>
      <c r="O73" s="34"/>
      <c r="P73" s="33"/>
      <c r="Q73" s="33"/>
      <c r="R73" s="38" t="str">
        <f aca="false">IF($N73="SI",$M73,"")</f>
        <v/>
      </c>
    </row>
    <row r="74" customFormat="false" ht="15" hidden="false" customHeight="true" outlineLevel="0" collapsed="false">
      <c r="A74" s="33"/>
      <c r="B74" s="33"/>
      <c r="C74" s="34"/>
      <c r="D74" s="35"/>
      <c r="E74" s="35"/>
      <c r="F74" s="36"/>
      <c r="G74" s="37"/>
      <c r="H74" s="38" t="str">
        <f aca="false">IF(OR($F74="",$G74=""),"",$F74*(1-$G74))</f>
        <v/>
      </c>
      <c r="I74" s="36"/>
      <c r="J74" s="38" t="str">
        <f aca="false">IF($H74="","",$H74-IF($I74="",0,$I74))</f>
        <v/>
      </c>
      <c r="K74" s="38" t="str">
        <f aca="false">IF(OR($J74="",$D74=0),"",$J74/$D74)</f>
        <v/>
      </c>
      <c r="L74" s="39"/>
      <c r="M74" s="38" t="str">
        <f aca="false">IF(OR($K74="",$L74=""),"",$K74*$L74)</f>
        <v/>
      </c>
      <c r="N74" s="33"/>
      <c r="O74" s="34"/>
      <c r="P74" s="33"/>
      <c r="Q74" s="33"/>
      <c r="R74" s="38" t="str">
        <f aca="false">IF($N74="SI",$M74,"")</f>
        <v/>
      </c>
    </row>
    <row r="75" customFormat="false" ht="15" hidden="false" customHeight="true" outlineLevel="0" collapsed="false">
      <c r="A75" s="33"/>
      <c r="B75" s="33"/>
      <c r="C75" s="34"/>
      <c r="D75" s="35"/>
      <c r="E75" s="35"/>
      <c r="F75" s="36"/>
      <c r="G75" s="37"/>
      <c r="H75" s="38" t="str">
        <f aca="false">IF(OR($F75="",$G75=""),"",$F75*(1-$G75))</f>
        <v/>
      </c>
      <c r="I75" s="36"/>
      <c r="J75" s="38" t="str">
        <f aca="false">IF($H75="","",$H75-IF($I75="",0,$I75))</f>
        <v/>
      </c>
      <c r="K75" s="38" t="str">
        <f aca="false">IF(OR($J75="",$D75=0),"",$J75/$D75)</f>
        <v/>
      </c>
      <c r="L75" s="39"/>
      <c r="M75" s="38" t="str">
        <f aca="false">IF(OR($K75="",$L75=""),"",$K75*$L75)</f>
        <v/>
      </c>
      <c r="N75" s="33"/>
      <c r="O75" s="34"/>
      <c r="P75" s="33"/>
      <c r="Q75" s="33"/>
      <c r="R75" s="38" t="str">
        <f aca="false">IF($N75="SI",$M75,"")</f>
        <v/>
      </c>
    </row>
    <row r="76" customFormat="false" ht="15" hidden="false" customHeight="true" outlineLevel="0" collapsed="false">
      <c r="A76" s="33"/>
      <c r="B76" s="33"/>
      <c r="C76" s="34"/>
      <c r="D76" s="35"/>
      <c r="E76" s="35"/>
      <c r="F76" s="36"/>
      <c r="G76" s="37"/>
      <c r="H76" s="38" t="str">
        <f aca="false">IF(OR($F76="",$G76=""),"",$F76*(1-$G76))</f>
        <v/>
      </c>
      <c r="I76" s="36"/>
      <c r="J76" s="38" t="str">
        <f aca="false">IF($H76="","",$H76-IF($I76="",0,$I76))</f>
        <v/>
      </c>
      <c r="K76" s="38" t="str">
        <f aca="false">IF(OR($J76="",$D76=0),"",$J76/$D76)</f>
        <v/>
      </c>
      <c r="L76" s="39"/>
      <c r="M76" s="38" t="str">
        <f aca="false">IF(OR($K76="",$L76=""),"",$K76*$L76)</f>
        <v/>
      </c>
      <c r="N76" s="33"/>
      <c r="O76" s="34"/>
      <c r="P76" s="33"/>
      <c r="Q76" s="33"/>
      <c r="R76" s="38" t="str">
        <f aca="false">IF($N76="SI",$M76,"")</f>
        <v/>
      </c>
    </row>
    <row r="77" customFormat="false" ht="15" hidden="false" customHeight="true" outlineLevel="0" collapsed="false">
      <c r="A77" s="33"/>
      <c r="B77" s="33"/>
      <c r="C77" s="34"/>
      <c r="D77" s="35"/>
      <c r="E77" s="35"/>
      <c r="F77" s="36"/>
      <c r="G77" s="37"/>
      <c r="H77" s="38" t="str">
        <f aca="false">IF(OR($F77="",$G77=""),"",$F77*(1-$G77))</f>
        <v/>
      </c>
      <c r="I77" s="36"/>
      <c r="J77" s="38" t="str">
        <f aca="false">IF($H77="","",$H77-IF($I77="",0,$I77))</f>
        <v/>
      </c>
      <c r="K77" s="38" t="str">
        <f aca="false">IF(OR($J77="",$D77=0),"",$J77/$D77)</f>
        <v/>
      </c>
      <c r="L77" s="39"/>
      <c r="M77" s="38" t="str">
        <f aca="false">IF(OR($K77="",$L77=""),"",$K77*$L77)</f>
        <v/>
      </c>
      <c r="N77" s="33"/>
      <c r="O77" s="34"/>
      <c r="P77" s="33"/>
      <c r="Q77" s="33"/>
      <c r="R77" s="38" t="str">
        <f aca="false">IF($N77="SI",$M77,"")</f>
        <v/>
      </c>
    </row>
    <row r="78" customFormat="false" ht="15" hidden="false" customHeight="true" outlineLevel="0" collapsed="false">
      <c r="A78" s="33"/>
      <c r="B78" s="33"/>
      <c r="C78" s="34"/>
      <c r="D78" s="35"/>
      <c r="E78" s="35"/>
      <c r="F78" s="36"/>
      <c r="G78" s="37"/>
      <c r="H78" s="38" t="str">
        <f aca="false">IF(OR($F78="",$G78=""),"",$F78*(1-$G78))</f>
        <v/>
      </c>
      <c r="I78" s="36"/>
      <c r="J78" s="38" t="str">
        <f aca="false">IF($H78="","",$H78-IF($I78="",0,$I78))</f>
        <v/>
      </c>
      <c r="K78" s="38" t="str">
        <f aca="false">IF(OR($J78="",$D78=0),"",$J78/$D78)</f>
        <v/>
      </c>
      <c r="L78" s="39"/>
      <c r="M78" s="38" t="str">
        <f aca="false">IF(OR($K78="",$L78=""),"",$K78*$L78)</f>
        <v/>
      </c>
      <c r="N78" s="33"/>
      <c r="O78" s="34"/>
      <c r="P78" s="33"/>
      <c r="Q78" s="33"/>
      <c r="R78" s="38" t="str">
        <f aca="false">IF($N78="SI",$M78,"")</f>
        <v/>
      </c>
    </row>
    <row r="79" customFormat="false" ht="15" hidden="false" customHeight="true" outlineLevel="0" collapsed="false">
      <c r="A79" s="33"/>
      <c r="B79" s="33"/>
      <c r="C79" s="34"/>
      <c r="D79" s="35"/>
      <c r="E79" s="35"/>
      <c r="F79" s="36"/>
      <c r="G79" s="37"/>
      <c r="H79" s="38" t="str">
        <f aca="false">IF(OR($F79="",$G79=""),"",$F79*(1-$G79))</f>
        <v/>
      </c>
      <c r="I79" s="36"/>
      <c r="J79" s="38" t="str">
        <f aca="false">IF($H79="","",$H79-IF($I79="",0,$I79))</f>
        <v/>
      </c>
      <c r="K79" s="38" t="str">
        <f aca="false">IF(OR($J79="",$D79=0),"",$J79/$D79)</f>
        <v/>
      </c>
      <c r="L79" s="39"/>
      <c r="M79" s="38" t="str">
        <f aca="false">IF(OR($K79="",$L79=""),"",$K79*$L79)</f>
        <v/>
      </c>
      <c r="N79" s="33"/>
      <c r="O79" s="34"/>
      <c r="P79" s="33"/>
      <c r="Q79" s="33"/>
      <c r="R79" s="38" t="str">
        <f aca="false">IF($N79="SI",$M79,"")</f>
        <v/>
      </c>
    </row>
    <row r="80" customFormat="false" ht="15" hidden="false" customHeight="true" outlineLevel="0" collapsed="false">
      <c r="A80" s="33"/>
      <c r="B80" s="33"/>
      <c r="C80" s="34"/>
      <c r="D80" s="35"/>
      <c r="E80" s="35"/>
      <c r="F80" s="36"/>
      <c r="G80" s="37"/>
      <c r="H80" s="38" t="str">
        <f aca="false">IF(OR($F80="",$G80=""),"",$F80*(1-$G80))</f>
        <v/>
      </c>
      <c r="I80" s="36"/>
      <c r="J80" s="38" t="str">
        <f aca="false">IF($H80="","",$H80-IF($I80="",0,$I80))</f>
        <v/>
      </c>
      <c r="K80" s="38" t="str">
        <f aca="false">IF(OR($J80="",$D80=0),"",$J80/$D80)</f>
        <v/>
      </c>
      <c r="L80" s="39"/>
      <c r="M80" s="38" t="str">
        <f aca="false">IF(OR($K80="",$L80=""),"",$K80*$L80)</f>
        <v/>
      </c>
      <c r="N80" s="33"/>
      <c r="O80" s="34"/>
      <c r="P80" s="33"/>
      <c r="Q80" s="33"/>
      <c r="R80" s="38" t="str">
        <f aca="false">IF($N80="SI",$M80,"")</f>
        <v/>
      </c>
    </row>
    <row r="81" customFormat="false" ht="15" hidden="false" customHeight="true" outlineLevel="0" collapsed="false">
      <c r="A81" s="33"/>
      <c r="B81" s="33"/>
      <c r="C81" s="34"/>
      <c r="D81" s="35"/>
      <c r="E81" s="35"/>
      <c r="F81" s="36"/>
      <c r="G81" s="37"/>
      <c r="H81" s="38" t="str">
        <f aca="false">IF(OR($F81="",$G81=""),"",$F81*(1-$G81))</f>
        <v/>
      </c>
      <c r="I81" s="36"/>
      <c r="J81" s="38" t="str">
        <f aca="false">IF($H81="","",$H81-IF($I81="",0,$I81))</f>
        <v/>
      </c>
      <c r="K81" s="38" t="str">
        <f aca="false">IF(OR($J81="",$D81=0),"",$J81/$D81)</f>
        <v/>
      </c>
      <c r="L81" s="39"/>
      <c r="M81" s="38" t="str">
        <f aca="false">IF(OR($K81="",$L81=""),"",$K81*$L81)</f>
        <v/>
      </c>
      <c r="N81" s="33"/>
      <c r="O81" s="34"/>
      <c r="P81" s="33"/>
      <c r="Q81" s="33"/>
      <c r="R81" s="38" t="str">
        <f aca="false">IF($N81="SI",$M81,"")</f>
        <v/>
      </c>
    </row>
    <row r="82" customFormat="false" ht="15" hidden="false" customHeight="true" outlineLevel="0" collapsed="false">
      <c r="A82" s="33"/>
      <c r="B82" s="33"/>
      <c r="C82" s="34"/>
      <c r="D82" s="35"/>
      <c r="E82" s="35"/>
      <c r="F82" s="36"/>
      <c r="G82" s="37"/>
      <c r="H82" s="38" t="str">
        <f aca="false">IF(OR($F82="",$G82=""),"",$F82*(1-$G82))</f>
        <v/>
      </c>
      <c r="I82" s="36"/>
      <c r="J82" s="38" t="str">
        <f aca="false">IF($H82="","",$H82-IF($I82="",0,$I82))</f>
        <v/>
      </c>
      <c r="K82" s="38" t="str">
        <f aca="false">IF(OR($J82="",$D82=0),"",$J82/$D82)</f>
        <v/>
      </c>
      <c r="L82" s="39"/>
      <c r="M82" s="38" t="str">
        <f aca="false">IF(OR($K82="",$L82=""),"",$K82*$L82)</f>
        <v/>
      </c>
      <c r="N82" s="33"/>
      <c r="O82" s="34"/>
      <c r="P82" s="33"/>
      <c r="Q82" s="33"/>
      <c r="R82" s="38" t="str">
        <f aca="false">IF($N82="SI",$M82,"")</f>
        <v/>
      </c>
    </row>
    <row r="83" customFormat="false" ht="15" hidden="false" customHeight="true" outlineLevel="0" collapsed="false">
      <c r="A83" s="33"/>
      <c r="B83" s="33"/>
      <c r="C83" s="34"/>
      <c r="D83" s="35"/>
      <c r="E83" s="35"/>
      <c r="F83" s="36"/>
      <c r="G83" s="37"/>
      <c r="H83" s="38" t="str">
        <f aca="false">IF(OR($F83="",$G83=""),"",$F83*(1-$G83))</f>
        <v/>
      </c>
      <c r="I83" s="36"/>
      <c r="J83" s="38" t="str">
        <f aca="false">IF($H83="","",$H83-IF($I83="",0,$I83))</f>
        <v/>
      </c>
      <c r="K83" s="38" t="str">
        <f aca="false">IF(OR($J83="",$D83=0),"",$J83/$D83)</f>
        <v/>
      </c>
      <c r="L83" s="39"/>
      <c r="M83" s="38" t="str">
        <f aca="false">IF(OR($K83="",$L83=""),"",$K83*$L83)</f>
        <v/>
      </c>
      <c r="N83" s="33"/>
      <c r="O83" s="34"/>
      <c r="P83" s="33"/>
      <c r="Q83" s="33"/>
      <c r="R83" s="38" t="str">
        <f aca="false">IF($N83="SI",$M83,"")</f>
        <v/>
      </c>
    </row>
    <row r="84" customFormat="false" ht="15" hidden="false" customHeight="true" outlineLevel="0" collapsed="false">
      <c r="A84" s="33"/>
      <c r="B84" s="33"/>
      <c r="C84" s="34"/>
      <c r="D84" s="35"/>
      <c r="E84" s="35"/>
      <c r="F84" s="36"/>
      <c r="G84" s="37"/>
      <c r="H84" s="38" t="str">
        <f aca="false">IF(OR($F84="",$G84=""),"",$F84*(1-$G84))</f>
        <v/>
      </c>
      <c r="I84" s="36"/>
      <c r="J84" s="38" t="str">
        <f aca="false">IF($H84="","",$H84-IF($I84="",0,$I84))</f>
        <v/>
      </c>
      <c r="K84" s="38" t="str">
        <f aca="false">IF(OR($J84="",$D84=0),"",$J84/$D84)</f>
        <v/>
      </c>
      <c r="L84" s="39"/>
      <c r="M84" s="38" t="str">
        <f aca="false">IF(OR($K84="",$L84=""),"",$K84*$L84)</f>
        <v/>
      </c>
      <c r="N84" s="33"/>
      <c r="O84" s="34"/>
      <c r="P84" s="33"/>
      <c r="Q84" s="33"/>
      <c r="R84" s="38" t="str">
        <f aca="false">IF($N84="SI",$M84,"")</f>
        <v/>
      </c>
    </row>
    <row r="85" customFormat="false" ht="15" hidden="false" customHeight="true" outlineLevel="0" collapsed="false">
      <c r="A85" s="33"/>
      <c r="B85" s="33"/>
      <c r="C85" s="34"/>
      <c r="D85" s="35"/>
      <c r="E85" s="35"/>
      <c r="F85" s="36"/>
      <c r="G85" s="37"/>
      <c r="H85" s="38" t="str">
        <f aca="false">IF(OR($F85="",$G85=""),"",$F85*(1-$G85))</f>
        <v/>
      </c>
      <c r="I85" s="36"/>
      <c r="J85" s="38" t="str">
        <f aca="false">IF($H85="","",$H85-IF($I85="",0,$I85))</f>
        <v/>
      </c>
      <c r="K85" s="38" t="str">
        <f aca="false">IF(OR($J85="",$D85=0),"",$J85/$D85)</f>
        <v/>
      </c>
      <c r="L85" s="39"/>
      <c r="M85" s="38" t="str">
        <f aca="false">IF(OR($K85="",$L85=""),"",$K85*$L85)</f>
        <v/>
      </c>
      <c r="N85" s="33"/>
      <c r="O85" s="34"/>
      <c r="P85" s="33"/>
      <c r="Q85" s="33"/>
      <c r="R85" s="38" t="str">
        <f aca="false">IF($N85="SI",$M85,"")</f>
        <v/>
      </c>
    </row>
    <row r="86" customFormat="false" ht="15" hidden="false" customHeight="true" outlineLevel="0" collapsed="false">
      <c r="A86" s="33"/>
      <c r="B86" s="33"/>
      <c r="C86" s="34"/>
      <c r="D86" s="35"/>
      <c r="E86" s="35"/>
      <c r="F86" s="36"/>
      <c r="G86" s="37"/>
      <c r="H86" s="38" t="str">
        <f aca="false">IF(OR($F86="",$G86=""),"",$F86*(1-$G86))</f>
        <v/>
      </c>
      <c r="I86" s="36"/>
      <c r="J86" s="38" t="str">
        <f aca="false">IF($H86="","",$H86-IF($I86="",0,$I86))</f>
        <v/>
      </c>
      <c r="K86" s="38" t="str">
        <f aca="false">IF(OR($J86="",$D86=0),"",$J86/$D86)</f>
        <v/>
      </c>
      <c r="L86" s="39"/>
      <c r="M86" s="38" t="str">
        <f aca="false">IF(OR($K86="",$L86=""),"",$K86*$L86)</f>
        <v/>
      </c>
      <c r="N86" s="33"/>
      <c r="O86" s="34"/>
      <c r="P86" s="33"/>
      <c r="Q86" s="33"/>
      <c r="R86" s="38" t="str">
        <f aca="false">IF($N86="SI",$M86,"")</f>
        <v/>
      </c>
    </row>
    <row r="87" customFormat="false" ht="15" hidden="false" customHeight="true" outlineLevel="0" collapsed="false">
      <c r="A87" s="33"/>
      <c r="B87" s="33"/>
      <c r="C87" s="34"/>
      <c r="D87" s="35"/>
      <c r="E87" s="35"/>
      <c r="F87" s="36"/>
      <c r="G87" s="37"/>
      <c r="H87" s="38" t="str">
        <f aca="false">IF(OR($F87="",$G87=""),"",$F87*(1-$G87))</f>
        <v/>
      </c>
      <c r="I87" s="36"/>
      <c r="J87" s="38" t="str">
        <f aca="false">IF($H87="","",$H87-IF($I87="",0,$I87))</f>
        <v/>
      </c>
      <c r="K87" s="38" t="str">
        <f aca="false">IF(OR($J87="",$D87=0),"",$J87/$D87)</f>
        <v/>
      </c>
      <c r="L87" s="39"/>
      <c r="M87" s="38" t="str">
        <f aca="false">IF(OR($K87="",$L87=""),"",$K87*$L87)</f>
        <v/>
      </c>
      <c r="N87" s="33"/>
      <c r="O87" s="34"/>
      <c r="P87" s="33"/>
      <c r="Q87" s="33"/>
      <c r="R87" s="38" t="str">
        <f aca="false">IF($N87="SI",$M87,"")</f>
        <v/>
      </c>
    </row>
    <row r="88" customFormat="false" ht="15" hidden="false" customHeight="true" outlineLevel="0" collapsed="false">
      <c r="A88" s="33"/>
      <c r="B88" s="33"/>
      <c r="C88" s="34"/>
      <c r="D88" s="35"/>
      <c r="E88" s="35"/>
      <c r="F88" s="36"/>
      <c r="G88" s="37"/>
      <c r="H88" s="38" t="str">
        <f aca="false">IF(OR($F88="",$G88=""),"",$F88*(1-$G88))</f>
        <v/>
      </c>
      <c r="I88" s="36"/>
      <c r="J88" s="38" t="str">
        <f aca="false">IF($H88="","",$H88-IF($I88="",0,$I88))</f>
        <v/>
      </c>
      <c r="K88" s="38" t="str">
        <f aca="false">IF(OR($J88="",$D88=0),"",$J88/$D88)</f>
        <v/>
      </c>
      <c r="L88" s="39"/>
      <c r="M88" s="38" t="str">
        <f aca="false">IF(OR($K88="",$L88=""),"",$K88*$L88)</f>
        <v/>
      </c>
      <c r="N88" s="33"/>
      <c r="O88" s="34"/>
      <c r="P88" s="33"/>
      <c r="Q88" s="33"/>
      <c r="R88" s="38" t="str">
        <f aca="false">IF($N88="SI",$M88,"")</f>
        <v/>
      </c>
    </row>
    <row r="89" customFormat="false" ht="15" hidden="false" customHeight="true" outlineLevel="0" collapsed="false">
      <c r="A89" s="33"/>
      <c r="B89" s="33"/>
      <c r="C89" s="34"/>
      <c r="D89" s="35"/>
      <c r="E89" s="35"/>
      <c r="F89" s="36"/>
      <c r="G89" s="37"/>
      <c r="H89" s="38" t="str">
        <f aca="false">IF(OR($F89="",$G89=""),"",$F89*(1-$G89))</f>
        <v/>
      </c>
      <c r="I89" s="36"/>
      <c r="J89" s="38" t="str">
        <f aca="false">IF($H89="","",$H89-IF($I89="",0,$I89))</f>
        <v/>
      </c>
      <c r="K89" s="38" t="str">
        <f aca="false">IF(OR($J89="",$D89=0),"",$J89/$D89)</f>
        <v/>
      </c>
      <c r="L89" s="39"/>
      <c r="M89" s="38" t="str">
        <f aca="false">IF(OR($K89="",$L89=""),"",$K89*$L89)</f>
        <v/>
      </c>
      <c r="N89" s="33"/>
      <c r="O89" s="34"/>
      <c r="P89" s="33"/>
      <c r="Q89" s="33"/>
      <c r="R89" s="38" t="str">
        <f aca="false">IF($N89="SI",$M89,"")</f>
        <v/>
      </c>
    </row>
    <row r="90" customFormat="false" ht="15" hidden="false" customHeight="true" outlineLevel="0" collapsed="false">
      <c r="A90" s="33"/>
      <c r="B90" s="33"/>
      <c r="C90" s="34"/>
      <c r="D90" s="35"/>
      <c r="E90" s="35"/>
      <c r="F90" s="36"/>
      <c r="G90" s="37"/>
      <c r="H90" s="38" t="str">
        <f aca="false">IF(OR($F90="",$G90=""),"",$F90*(1-$G90))</f>
        <v/>
      </c>
      <c r="I90" s="36"/>
      <c r="J90" s="38" t="str">
        <f aca="false">IF($H90="","",$H90-IF($I90="",0,$I90))</f>
        <v/>
      </c>
      <c r="K90" s="38" t="str">
        <f aca="false">IF(OR($J90="",$D90=0),"",$J90/$D90)</f>
        <v/>
      </c>
      <c r="L90" s="39"/>
      <c r="M90" s="38" t="str">
        <f aca="false">IF(OR($K90="",$L90=""),"",$K90*$L90)</f>
        <v/>
      </c>
      <c r="N90" s="33"/>
      <c r="O90" s="34"/>
      <c r="P90" s="33"/>
      <c r="Q90" s="33"/>
      <c r="R90" s="38" t="str">
        <f aca="false">IF($N90="SI",$M90,"")</f>
        <v/>
      </c>
    </row>
    <row r="91" customFormat="false" ht="15" hidden="false" customHeight="true" outlineLevel="0" collapsed="false">
      <c r="A91" s="33"/>
      <c r="B91" s="33"/>
      <c r="C91" s="34"/>
      <c r="D91" s="35"/>
      <c r="E91" s="35"/>
      <c r="F91" s="36"/>
      <c r="G91" s="37"/>
      <c r="H91" s="38" t="str">
        <f aca="false">IF(OR($F91="",$G91=""),"",$F91*(1-$G91))</f>
        <v/>
      </c>
      <c r="I91" s="36"/>
      <c r="J91" s="38" t="str">
        <f aca="false">IF($H91="","",$H91-IF($I91="",0,$I91))</f>
        <v/>
      </c>
      <c r="K91" s="38" t="str">
        <f aca="false">IF(OR($J91="",$D91=0),"",$J91/$D91)</f>
        <v/>
      </c>
      <c r="L91" s="39"/>
      <c r="M91" s="38" t="str">
        <f aca="false">IF(OR($K91="",$L91=""),"",$K91*$L91)</f>
        <v/>
      </c>
      <c r="N91" s="33"/>
      <c r="O91" s="34"/>
      <c r="P91" s="33"/>
      <c r="Q91" s="33"/>
      <c r="R91" s="38" t="str">
        <f aca="false">IF($N91="SI",$M91,"")</f>
        <v/>
      </c>
    </row>
    <row r="92" customFormat="false" ht="15" hidden="false" customHeight="true" outlineLevel="0" collapsed="false">
      <c r="A92" s="33"/>
      <c r="B92" s="33"/>
      <c r="C92" s="34"/>
      <c r="D92" s="35"/>
      <c r="E92" s="35"/>
      <c r="F92" s="36"/>
      <c r="G92" s="37"/>
      <c r="H92" s="38" t="str">
        <f aca="false">IF(OR($F92="",$G92=""),"",$F92*(1-$G92))</f>
        <v/>
      </c>
      <c r="I92" s="36"/>
      <c r="J92" s="38" t="str">
        <f aca="false">IF($H92="","",$H92-IF($I92="",0,$I92))</f>
        <v/>
      </c>
      <c r="K92" s="38" t="str">
        <f aca="false">IF(OR($J92="",$D92=0),"",$J92/$D92)</f>
        <v/>
      </c>
      <c r="L92" s="39"/>
      <c r="M92" s="38" t="str">
        <f aca="false">IF(OR($K92="",$L92=""),"",$K92*$L92)</f>
        <v/>
      </c>
      <c r="N92" s="33"/>
      <c r="O92" s="34"/>
      <c r="P92" s="33"/>
      <c r="Q92" s="33"/>
      <c r="R92" s="38" t="str">
        <f aca="false">IF($N92="SI",$M92,"")</f>
        <v/>
      </c>
    </row>
    <row r="93" customFormat="false" ht="15" hidden="false" customHeight="true" outlineLevel="0" collapsed="false">
      <c r="A93" s="33"/>
      <c r="B93" s="33"/>
      <c r="C93" s="34"/>
      <c r="D93" s="35"/>
      <c r="E93" s="35"/>
      <c r="F93" s="36"/>
      <c r="G93" s="37"/>
      <c r="H93" s="38" t="str">
        <f aca="false">IF(OR($F93="",$G93=""),"",$F93*(1-$G93))</f>
        <v/>
      </c>
      <c r="I93" s="36"/>
      <c r="J93" s="38" t="str">
        <f aca="false">IF($H93="","",$H93-IF($I93="",0,$I93))</f>
        <v/>
      </c>
      <c r="K93" s="38" t="str">
        <f aca="false">IF(OR($J93="",$D93=0),"",$J93/$D93)</f>
        <v/>
      </c>
      <c r="L93" s="39"/>
      <c r="M93" s="38" t="str">
        <f aca="false">IF(OR($K93="",$L93=""),"",$K93*$L93)</f>
        <v/>
      </c>
      <c r="N93" s="33"/>
      <c r="O93" s="34"/>
      <c r="P93" s="33"/>
      <c r="Q93" s="33"/>
      <c r="R93" s="38" t="str">
        <f aca="false">IF($N93="SI",$M93,"")</f>
        <v/>
      </c>
    </row>
    <row r="94" customFormat="false" ht="15" hidden="false" customHeight="true" outlineLevel="0" collapsed="false">
      <c r="A94" s="33"/>
      <c r="B94" s="33"/>
      <c r="C94" s="34"/>
      <c r="D94" s="35"/>
      <c r="E94" s="35"/>
      <c r="F94" s="36"/>
      <c r="G94" s="37"/>
      <c r="H94" s="38" t="str">
        <f aca="false">IF(OR($F94="",$G94=""),"",$F94*(1-$G94))</f>
        <v/>
      </c>
      <c r="I94" s="36"/>
      <c r="J94" s="38" t="str">
        <f aca="false">IF($H94="","",$H94-IF($I94="",0,$I94))</f>
        <v/>
      </c>
      <c r="K94" s="38" t="str">
        <f aca="false">IF(OR($J94="",$D94=0),"",$J94/$D94)</f>
        <v/>
      </c>
      <c r="L94" s="39"/>
      <c r="M94" s="38" t="str">
        <f aca="false">IF(OR($K94="",$L94=""),"",$K94*$L94)</f>
        <v/>
      </c>
      <c r="N94" s="33"/>
      <c r="O94" s="34"/>
      <c r="P94" s="33"/>
      <c r="Q94" s="33"/>
      <c r="R94" s="38" t="str">
        <f aca="false">IF($N94="SI",$M94,"")</f>
        <v/>
      </c>
    </row>
    <row r="95" customFormat="false" ht="15" hidden="false" customHeight="true" outlineLevel="0" collapsed="false">
      <c r="A95" s="33"/>
      <c r="B95" s="33"/>
      <c r="C95" s="34"/>
      <c r="D95" s="35"/>
      <c r="E95" s="35"/>
      <c r="F95" s="36"/>
      <c r="G95" s="37"/>
      <c r="H95" s="38" t="str">
        <f aca="false">IF(OR($F95="",$G95=""),"",$F95*(1-$G95))</f>
        <v/>
      </c>
      <c r="I95" s="36"/>
      <c r="J95" s="38" t="str">
        <f aca="false">IF($H95="","",$H95-IF($I95="",0,$I95))</f>
        <v/>
      </c>
      <c r="K95" s="38" t="str">
        <f aca="false">IF(OR($J95="",$D95=0),"",$J95/$D95)</f>
        <v/>
      </c>
      <c r="L95" s="39"/>
      <c r="M95" s="38" t="str">
        <f aca="false">IF(OR($K95="",$L95=""),"",$K95*$L95)</f>
        <v/>
      </c>
      <c r="N95" s="33"/>
      <c r="O95" s="34"/>
      <c r="P95" s="33"/>
      <c r="Q95" s="33"/>
      <c r="R95" s="38" t="str">
        <f aca="false">IF($N95="SI",$M95,"")</f>
        <v/>
      </c>
    </row>
    <row r="96" customFormat="false" ht="15" hidden="false" customHeight="true" outlineLevel="0" collapsed="false">
      <c r="A96" s="33"/>
      <c r="B96" s="33"/>
      <c r="C96" s="34"/>
      <c r="D96" s="35"/>
      <c r="E96" s="35"/>
      <c r="F96" s="36"/>
      <c r="G96" s="37"/>
      <c r="H96" s="38" t="str">
        <f aca="false">IF(OR($F96="",$G96=""),"",$F96*(1-$G96))</f>
        <v/>
      </c>
      <c r="I96" s="36"/>
      <c r="J96" s="38" t="str">
        <f aca="false">IF($H96="","",$H96-IF($I96="",0,$I96))</f>
        <v/>
      </c>
      <c r="K96" s="38" t="str">
        <f aca="false">IF(OR($J96="",$D96=0),"",$J96/$D96)</f>
        <v/>
      </c>
      <c r="L96" s="39"/>
      <c r="M96" s="38" t="str">
        <f aca="false">IF(OR($K96="",$L96=""),"",$K96*$L96)</f>
        <v/>
      </c>
      <c r="N96" s="33"/>
      <c r="O96" s="34"/>
      <c r="P96" s="33"/>
      <c r="Q96" s="33"/>
      <c r="R96" s="38" t="str">
        <f aca="false">IF($N96="SI",$M96,"")</f>
        <v/>
      </c>
    </row>
    <row r="97" customFormat="false" ht="15" hidden="false" customHeight="true" outlineLevel="0" collapsed="false">
      <c r="A97" s="33"/>
      <c r="B97" s="33"/>
      <c r="C97" s="34"/>
      <c r="D97" s="35"/>
      <c r="E97" s="35"/>
      <c r="F97" s="36"/>
      <c r="G97" s="37"/>
      <c r="H97" s="38" t="str">
        <f aca="false">IF(OR($F97="",$G97=""),"",$F97*(1-$G97))</f>
        <v/>
      </c>
      <c r="I97" s="36"/>
      <c r="J97" s="38" t="str">
        <f aca="false">IF($H97="","",$H97-IF($I97="",0,$I97))</f>
        <v/>
      </c>
      <c r="K97" s="38" t="str">
        <f aca="false">IF(OR($J97="",$D97=0),"",$J97/$D97)</f>
        <v/>
      </c>
      <c r="L97" s="39"/>
      <c r="M97" s="38" t="str">
        <f aca="false">IF(OR($K97="",$L97=""),"",$K97*$L97)</f>
        <v/>
      </c>
      <c r="N97" s="33"/>
      <c r="O97" s="34"/>
      <c r="P97" s="33"/>
      <c r="Q97" s="33"/>
      <c r="R97" s="38" t="str">
        <f aca="false">IF($N97="SI",$M97,"")</f>
        <v/>
      </c>
    </row>
    <row r="98" customFormat="false" ht="15" hidden="false" customHeight="true" outlineLevel="0" collapsed="false">
      <c r="A98" s="33"/>
      <c r="B98" s="33"/>
      <c r="C98" s="34"/>
      <c r="D98" s="35"/>
      <c r="E98" s="35"/>
      <c r="F98" s="36"/>
      <c r="G98" s="37"/>
      <c r="H98" s="38" t="str">
        <f aca="false">IF(OR($F98="",$G98=""),"",$F98*(1-$G98))</f>
        <v/>
      </c>
      <c r="I98" s="36"/>
      <c r="J98" s="38" t="str">
        <f aca="false">IF($H98="","",$H98-IF($I98="",0,$I98))</f>
        <v/>
      </c>
      <c r="K98" s="38" t="str">
        <f aca="false">IF(OR($J98="",$D98=0),"",$J98/$D98)</f>
        <v/>
      </c>
      <c r="L98" s="39"/>
      <c r="M98" s="38" t="str">
        <f aca="false">IF(OR($K98="",$L98=""),"",$K98*$L98)</f>
        <v/>
      </c>
      <c r="N98" s="33"/>
      <c r="O98" s="34"/>
      <c r="P98" s="33"/>
      <c r="Q98" s="33"/>
      <c r="R98" s="38" t="str">
        <f aca="false">IF($N98="SI",$M98,"")</f>
        <v/>
      </c>
    </row>
    <row r="99" customFormat="false" ht="15" hidden="false" customHeight="true" outlineLevel="0" collapsed="false">
      <c r="A99" s="33"/>
      <c r="B99" s="33"/>
      <c r="C99" s="34"/>
      <c r="D99" s="35"/>
      <c r="E99" s="35"/>
      <c r="F99" s="36"/>
      <c r="G99" s="37"/>
      <c r="H99" s="38" t="str">
        <f aca="false">IF(OR($F99="",$G99=""),"",$F99*(1-$G99))</f>
        <v/>
      </c>
      <c r="I99" s="36"/>
      <c r="J99" s="38" t="str">
        <f aca="false">IF($H99="","",$H99-IF($I99="",0,$I99))</f>
        <v/>
      </c>
      <c r="K99" s="38" t="str">
        <f aca="false">IF(OR($J99="",$D99=0),"",$J99/$D99)</f>
        <v/>
      </c>
      <c r="L99" s="39"/>
      <c r="M99" s="38" t="str">
        <f aca="false">IF(OR($K99="",$L99=""),"",$K99*$L99)</f>
        <v/>
      </c>
      <c r="N99" s="33"/>
      <c r="O99" s="34"/>
      <c r="P99" s="33"/>
      <c r="Q99" s="33"/>
      <c r="R99" s="38" t="str">
        <f aca="false">IF($N99="SI",$M99,"")</f>
        <v/>
      </c>
    </row>
    <row r="100" customFormat="false" ht="15" hidden="false" customHeight="true" outlineLevel="0" collapsed="false">
      <c r="A100" s="33"/>
      <c r="B100" s="33"/>
      <c r="C100" s="34"/>
      <c r="D100" s="35"/>
      <c r="E100" s="35"/>
      <c r="F100" s="36"/>
      <c r="G100" s="37"/>
      <c r="H100" s="38" t="str">
        <f aca="false">IF(OR($F100="",$G100=""),"",$F100*(1-$G100))</f>
        <v/>
      </c>
      <c r="I100" s="36"/>
      <c r="J100" s="38" t="str">
        <f aca="false">IF($H100="","",$H100-IF($I100="",0,$I100))</f>
        <v/>
      </c>
      <c r="K100" s="38" t="str">
        <f aca="false">IF(OR($J100="",$D100=0),"",$J100/$D100)</f>
        <v/>
      </c>
      <c r="L100" s="39"/>
      <c r="M100" s="38" t="str">
        <f aca="false">IF(OR($K100="",$L100=""),"",$K100*$L100)</f>
        <v/>
      </c>
      <c r="N100" s="33"/>
      <c r="O100" s="34"/>
      <c r="P100" s="33"/>
      <c r="Q100" s="33"/>
      <c r="R100" s="38" t="str">
        <f aca="false">IF($N100="SI",$M100,"")</f>
        <v/>
      </c>
    </row>
    <row r="101" customFormat="false" ht="15" hidden="false" customHeight="true" outlineLevel="0" collapsed="false">
      <c r="A101" s="33"/>
      <c r="B101" s="33"/>
      <c r="C101" s="34"/>
      <c r="D101" s="35"/>
      <c r="E101" s="35"/>
      <c r="F101" s="36"/>
      <c r="G101" s="37"/>
      <c r="H101" s="38" t="str">
        <f aca="false">IF(OR($F101="",$G101=""),"",$F101*(1-$G101))</f>
        <v/>
      </c>
      <c r="I101" s="36"/>
      <c r="J101" s="38" t="str">
        <f aca="false">IF($H101="","",$H101-IF($I101="",0,$I101))</f>
        <v/>
      </c>
      <c r="K101" s="38" t="str">
        <f aca="false">IF(OR($J101="",$D101=0),"",$J101/$D101)</f>
        <v/>
      </c>
      <c r="L101" s="39"/>
      <c r="M101" s="38" t="str">
        <f aca="false">IF(OR($K101="",$L101=""),"",$K101*$L101)</f>
        <v/>
      </c>
      <c r="N101" s="33"/>
      <c r="O101" s="34"/>
      <c r="P101" s="33"/>
      <c r="Q101" s="33"/>
      <c r="R101" s="38" t="str">
        <f aca="false">IF($N101="SI",$M101,"")</f>
        <v/>
      </c>
    </row>
    <row r="102" customFormat="false" ht="15" hidden="false" customHeight="true" outlineLevel="0" collapsed="false">
      <c r="A102" s="33"/>
      <c r="B102" s="33"/>
      <c r="C102" s="34"/>
      <c r="D102" s="35"/>
      <c r="E102" s="35"/>
      <c r="F102" s="36"/>
      <c r="G102" s="37"/>
      <c r="H102" s="38" t="str">
        <f aca="false">IF(OR($F102="",$G102=""),"",$F102*(1-$G102))</f>
        <v/>
      </c>
      <c r="I102" s="36"/>
      <c r="J102" s="38" t="str">
        <f aca="false">IF($H102="","",$H102-IF($I102="",0,$I102))</f>
        <v/>
      </c>
      <c r="K102" s="38" t="str">
        <f aca="false">IF(OR($J102="",$D102=0),"",$J102/$D102)</f>
        <v/>
      </c>
      <c r="L102" s="39"/>
      <c r="M102" s="38" t="str">
        <f aca="false">IF(OR($K102="",$L102=""),"",$K102*$L102)</f>
        <v/>
      </c>
      <c r="N102" s="33"/>
      <c r="O102" s="34"/>
      <c r="P102" s="33"/>
      <c r="Q102" s="33"/>
      <c r="R102" s="38" t="str">
        <f aca="false">IF($N102="SI",$M102,"")</f>
        <v/>
      </c>
    </row>
    <row r="103" customFormat="false" ht="15" hidden="false" customHeight="true" outlineLevel="0" collapsed="false">
      <c r="A103" s="33"/>
      <c r="B103" s="33"/>
      <c r="C103" s="34"/>
      <c r="D103" s="35"/>
      <c r="E103" s="35"/>
      <c r="F103" s="36"/>
      <c r="G103" s="37"/>
      <c r="H103" s="38" t="str">
        <f aca="false">IF(OR($F103="",$G103=""),"",$F103*(1-$G103))</f>
        <v/>
      </c>
      <c r="I103" s="36"/>
      <c r="J103" s="38" t="str">
        <f aca="false">IF($H103="","",$H103-IF($I103="",0,$I103))</f>
        <v/>
      </c>
      <c r="K103" s="38" t="str">
        <f aca="false">IF(OR($J103="",$D103=0),"",$J103/$D103)</f>
        <v/>
      </c>
      <c r="L103" s="39"/>
      <c r="M103" s="38" t="str">
        <f aca="false">IF(OR($K103="",$L103=""),"",$K103*$L103)</f>
        <v/>
      </c>
      <c r="N103" s="33"/>
      <c r="O103" s="34"/>
      <c r="P103" s="33"/>
      <c r="Q103" s="33"/>
      <c r="R103" s="38" t="str">
        <f aca="false">IF($N103="SI",$M103,"")</f>
        <v/>
      </c>
    </row>
    <row r="104" customFormat="false" ht="15" hidden="false" customHeight="true" outlineLevel="0" collapsed="false">
      <c r="A104" s="33"/>
      <c r="B104" s="33"/>
      <c r="C104" s="34"/>
      <c r="D104" s="35"/>
      <c r="E104" s="35"/>
      <c r="F104" s="36"/>
      <c r="G104" s="37"/>
      <c r="H104" s="38" t="str">
        <f aca="false">IF(OR($F104="",$G104=""),"",$F104*(1-$G104))</f>
        <v/>
      </c>
      <c r="I104" s="36"/>
      <c r="J104" s="38" t="str">
        <f aca="false">IF($H104="","",$H104-IF($I104="",0,$I104))</f>
        <v/>
      </c>
      <c r="K104" s="38" t="str">
        <f aca="false">IF(OR($J104="",$D104=0),"",$J104/$D104)</f>
        <v/>
      </c>
      <c r="L104" s="39"/>
      <c r="M104" s="38" t="str">
        <f aca="false">IF(OR($K104="",$L104=""),"",$K104*$L104)</f>
        <v/>
      </c>
      <c r="N104" s="33"/>
      <c r="O104" s="34"/>
      <c r="P104" s="33"/>
      <c r="Q104" s="33"/>
      <c r="R104" s="38" t="str">
        <f aca="false">IF($N104="SI",$M104,"")</f>
        <v/>
      </c>
    </row>
    <row r="105" customFormat="false" ht="15" hidden="false" customHeight="true" outlineLevel="0" collapsed="false">
      <c r="A105" s="33"/>
      <c r="B105" s="33"/>
      <c r="C105" s="34"/>
      <c r="D105" s="35"/>
      <c r="E105" s="35"/>
      <c r="F105" s="36"/>
      <c r="G105" s="37"/>
      <c r="H105" s="38" t="str">
        <f aca="false">IF(OR($F105="",$G105=""),"",$F105*(1-$G105))</f>
        <v/>
      </c>
      <c r="I105" s="36"/>
      <c r="J105" s="38" t="str">
        <f aca="false">IF($H105="","",$H105-IF($I105="",0,$I105))</f>
        <v/>
      </c>
      <c r="K105" s="38" t="str">
        <f aca="false">IF(OR($J105="",$D105=0),"",$J105/$D105)</f>
        <v/>
      </c>
      <c r="L105" s="39"/>
      <c r="M105" s="38" t="str">
        <f aca="false">IF(OR($K105="",$L105=""),"",$K105*$L105)</f>
        <v/>
      </c>
      <c r="N105" s="33"/>
      <c r="O105" s="34"/>
      <c r="P105" s="33"/>
      <c r="Q105" s="33"/>
      <c r="R105" s="38" t="str">
        <f aca="false">IF($N105="SI",$M105,"")</f>
        <v/>
      </c>
    </row>
    <row r="106" customFormat="false" ht="15" hidden="false" customHeight="true" outlineLevel="0" collapsed="false">
      <c r="A106" s="33"/>
      <c r="B106" s="33"/>
      <c r="C106" s="34"/>
      <c r="D106" s="35"/>
      <c r="E106" s="35"/>
      <c r="F106" s="36"/>
      <c r="G106" s="37"/>
      <c r="H106" s="38" t="str">
        <f aca="false">IF(OR($F106="",$G106=""),"",$F106*(1-$G106))</f>
        <v/>
      </c>
      <c r="I106" s="36"/>
      <c r="J106" s="38" t="str">
        <f aca="false">IF($H106="","",$H106-IF($I106="",0,$I106))</f>
        <v/>
      </c>
      <c r="K106" s="38" t="str">
        <f aca="false">IF(OR($J106="",$D106=0),"",$J106/$D106)</f>
        <v/>
      </c>
      <c r="L106" s="39"/>
      <c r="M106" s="38" t="str">
        <f aca="false">IF(OR($K106="",$L106=""),"",$K106*$L106)</f>
        <v/>
      </c>
      <c r="N106" s="33"/>
      <c r="O106" s="34"/>
      <c r="P106" s="33"/>
      <c r="Q106" s="33"/>
      <c r="R106" s="38" t="str">
        <f aca="false">IF($N106="SI",$M106,"")</f>
        <v/>
      </c>
    </row>
    <row r="107" customFormat="false" ht="15" hidden="false" customHeight="true" outlineLevel="0" collapsed="false">
      <c r="A107" s="33"/>
      <c r="B107" s="33"/>
      <c r="C107" s="34"/>
      <c r="D107" s="35"/>
      <c r="E107" s="35"/>
      <c r="F107" s="36"/>
      <c r="G107" s="37"/>
      <c r="H107" s="38" t="str">
        <f aca="false">IF(OR($F107="",$G107=""),"",$F107*(1-$G107))</f>
        <v/>
      </c>
      <c r="I107" s="36"/>
      <c r="J107" s="38" t="str">
        <f aca="false">IF($H107="","",$H107-IF($I107="",0,$I107))</f>
        <v/>
      </c>
      <c r="K107" s="38" t="str">
        <f aca="false">IF(OR($J107="",$D107=0),"",$J107/$D107)</f>
        <v/>
      </c>
      <c r="L107" s="39"/>
      <c r="M107" s="38" t="str">
        <f aca="false">IF(OR($K107="",$L107=""),"",$K107*$L107)</f>
        <v/>
      </c>
      <c r="N107" s="33"/>
      <c r="O107" s="34"/>
      <c r="P107" s="33"/>
      <c r="Q107" s="33"/>
      <c r="R107" s="38" t="str">
        <f aca="false">IF($N107="SI",$M107,"")</f>
        <v/>
      </c>
    </row>
    <row r="108" customFormat="false" ht="15" hidden="false" customHeight="true" outlineLevel="0" collapsed="false">
      <c r="A108" s="33"/>
      <c r="B108" s="33"/>
      <c r="C108" s="34"/>
      <c r="D108" s="35"/>
      <c r="E108" s="35"/>
      <c r="F108" s="36"/>
      <c r="G108" s="37"/>
      <c r="H108" s="38" t="str">
        <f aca="false">IF(OR($F108="",$G108=""),"",$F108*(1-$G108))</f>
        <v/>
      </c>
      <c r="I108" s="36"/>
      <c r="J108" s="38" t="str">
        <f aca="false">IF($H108="","",$H108-IF($I108="",0,$I108))</f>
        <v/>
      </c>
      <c r="K108" s="38" t="str">
        <f aca="false">IF(OR($J108="",$D108=0),"",$J108/$D108)</f>
        <v/>
      </c>
      <c r="L108" s="39"/>
      <c r="M108" s="38" t="str">
        <f aca="false">IF(OR($K108="",$L108=""),"",$K108*$L108)</f>
        <v/>
      </c>
      <c r="N108" s="33"/>
      <c r="O108" s="34"/>
      <c r="P108" s="33"/>
      <c r="Q108" s="33"/>
      <c r="R108" s="38" t="str">
        <f aca="false">IF($N108="SI",$M108,"")</f>
        <v/>
      </c>
    </row>
    <row r="109" customFormat="false" ht="15" hidden="false" customHeight="true" outlineLevel="0" collapsed="false">
      <c r="A109" s="33"/>
      <c r="B109" s="33"/>
      <c r="C109" s="34"/>
      <c r="D109" s="35"/>
      <c r="E109" s="35"/>
      <c r="F109" s="36"/>
      <c r="G109" s="37"/>
      <c r="H109" s="38" t="str">
        <f aca="false">IF(OR($F109="",$G109=""),"",$F109*(1-$G109))</f>
        <v/>
      </c>
      <c r="I109" s="36"/>
      <c r="J109" s="38" t="str">
        <f aca="false">IF($H109="","",$H109-IF($I109="",0,$I109))</f>
        <v/>
      </c>
      <c r="K109" s="38" t="str">
        <f aca="false">IF(OR($J109="",$D109=0),"",$J109/$D109)</f>
        <v/>
      </c>
      <c r="L109" s="39"/>
      <c r="M109" s="38" t="str">
        <f aca="false">IF(OR($K109="",$L109=""),"",$K109*$L109)</f>
        <v/>
      </c>
      <c r="N109" s="33"/>
      <c r="O109" s="34"/>
      <c r="P109" s="33"/>
      <c r="Q109" s="33"/>
      <c r="R109" s="38" t="str">
        <f aca="false">IF($N109="SI",$M109,"")</f>
        <v/>
      </c>
    </row>
    <row r="110" customFormat="false" ht="15" hidden="false" customHeight="true" outlineLevel="0" collapsed="false">
      <c r="A110" s="33"/>
      <c r="B110" s="33"/>
      <c r="C110" s="34"/>
      <c r="D110" s="35"/>
      <c r="E110" s="35"/>
      <c r="F110" s="36"/>
      <c r="G110" s="37"/>
      <c r="H110" s="38" t="str">
        <f aca="false">IF(OR($F110="",$G110=""),"",$F110*(1-$G110))</f>
        <v/>
      </c>
      <c r="I110" s="36"/>
      <c r="J110" s="38" t="str">
        <f aca="false">IF($H110="","",$H110-IF($I110="",0,$I110))</f>
        <v/>
      </c>
      <c r="K110" s="38" t="str">
        <f aca="false">IF(OR($J110="",$D110=0),"",$J110/$D110)</f>
        <v/>
      </c>
      <c r="L110" s="39"/>
      <c r="M110" s="38" t="str">
        <f aca="false">IF(OR($K110="",$L110=""),"",$K110*$L110)</f>
        <v/>
      </c>
      <c r="N110" s="33"/>
      <c r="O110" s="34"/>
      <c r="P110" s="33"/>
      <c r="Q110" s="33"/>
      <c r="R110" s="38" t="str">
        <f aca="false">IF($N110="SI",$M110,"")</f>
        <v/>
      </c>
    </row>
    <row r="111" customFormat="false" ht="15" hidden="false" customHeight="true" outlineLevel="0" collapsed="false">
      <c r="A111" s="33"/>
      <c r="B111" s="33"/>
      <c r="C111" s="34"/>
      <c r="D111" s="35"/>
      <c r="E111" s="35"/>
      <c r="F111" s="36"/>
      <c r="G111" s="37"/>
      <c r="H111" s="38" t="str">
        <f aca="false">IF(OR($F111="",$G111=""),"",$F111*(1-$G111))</f>
        <v/>
      </c>
      <c r="I111" s="36"/>
      <c r="J111" s="38" t="str">
        <f aca="false">IF($H111="","",$H111-IF($I111="",0,$I111))</f>
        <v/>
      </c>
      <c r="K111" s="38" t="str">
        <f aca="false">IF(OR($J111="",$D111=0),"",$J111/$D111)</f>
        <v/>
      </c>
      <c r="L111" s="39"/>
      <c r="M111" s="38" t="str">
        <f aca="false">IF(OR($K111="",$L111=""),"",$K111*$L111)</f>
        <v/>
      </c>
      <c r="N111" s="33"/>
      <c r="O111" s="34"/>
      <c r="P111" s="33"/>
      <c r="Q111" s="33"/>
      <c r="R111" s="38" t="str">
        <f aca="false">IF($N111="SI",$M111,"")</f>
        <v/>
      </c>
    </row>
    <row r="112" customFormat="false" ht="15" hidden="false" customHeight="true" outlineLevel="0" collapsed="false">
      <c r="A112" s="33"/>
      <c r="B112" s="33"/>
      <c r="C112" s="34"/>
      <c r="D112" s="35"/>
      <c r="E112" s="35"/>
      <c r="F112" s="36"/>
      <c r="G112" s="37"/>
      <c r="H112" s="38" t="str">
        <f aca="false">IF(OR($F112="",$G112=""),"",$F112*(1-$G112))</f>
        <v/>
      </c>
      <c r="I112" s="36"/>
      <c r="J112" s="38" t="str">
        <f aca="false">IF($H112="","",$H112-IF($I112="",0,$I112))</f>
        <v/>
      </c>
      <c r="K112" s="38" t="str">
        <f aca="false">IF(OR($J112="",$D112=0),"",$J112/$D112)</f>
        <v/>
      </c>
      <c r="L112" s="39"/>
      <c r="M112" s="38" t="str">
        <f aca="false">IF(OR($K112="",$L112=""),"",$K112*$L112)</f>
        <v/>
      </c>
      <c r="N112" s="33"/>
      <c r="O112" s="34"/>
      <c r="P112" s="33"/>
      <c r="Q112" s="33"/>
      <c r="R112" s="38" t="str">
        <f aca="false">IF($N112="SI",$M112,"")</f>
        <v/>
      </c>
    </row>
    <row r="113" customFormat="false" ht="15" hidden="false" customHeight="true" outlineLevel="0" collapsed="false">
      <c r="A113" s="33"/>
      <c r="B113" s="33"/>
      <c r="C113" s="34"/>
      <c r="D113" s="35"/>
      <c r="E113" s="35"/>
      <c r="F113" s="36"/>
      <c r="G113" s="37"/>
      <c r="H113" s="38" t="str">
        <f aca="false">IF(OR($F113="",$G113=""),"",$F113*(1-$G113))</f>
        <v/>
      </c>
      <c r="I113" s="36"/>
      <c r="J113" s="38" t="str">
        <f aca="false">IF($H113="","",$H113-IF($I113="",0,$I113))</f>
        <v/>
      </c>
      <c r="K113" s="38" t="str">
        <f aca="false">IF(OR($J113="",$D113=0),"",$J113/$D113)</f>
        <v/>
      </c>
      <c r="L113" s="39"/>
      <c r="M113" s="38" t="str">
        <f aca="false">IF(OR($K113="",$L113=""),"",$K113*$L113)</f>
        <v/>
      </c>
      <c r="N113" s="33"/>
      <c r="O113" s="34"/>
      <c r="P113" s="33"/>
      <c r="Q113" s="33"/>
      <c r="R113" s="38" t="str">
        <f aca="false">IF($N113="SI",$M113,"")</f>
        <v/>
      </c>
    </row>
    <row r="114" customFormat="false" ht="15" hidden="false" customHeight="true" outlineLevel="0" collapsed="false">
      <c r="A114" s="33"/>
      <c r="B114" s="33"/>
      <c r="C114" s="34"/>
      <c r="D114" s="35"/>
      <c r="E114" s="35"/>
      <c r="F114" s="36"/>
      <c r="G114" s="37"/>
      <c r="H114" s="38" t="str">
        <f aca="false">IF(OR($F114="",$G114=""),"",$F114*(1-$G114))</f>
        <v/>
      </c>
      <c r="I114" s="36"/>
      <c r="J114" s="38" t="str">
        <f aca="false">IF($H114="","",$H114-IF($I114="",0,$I114))</f>
        <v/>
      </c>
      <c r="K114" s="38" t="str">
        <f aca="false">IF(OR($J114="",$D114=0),"",$J114/$D114)</f>
        <v/>
      </c>
      <c r="L114" s="39"/>
      <c r="M114" s="38" t="str">
        <f aca="false">IF(OR($K114="",$L114=""),"",$K114*$L114)</f>
        <v/>
      </c>
      <c r="N114" s="33"/>
      <c r="O114" s="34"/>
      <c r="P114" s="33"/>
      <c r="Q114" s="33"/>
      <c r="R114" s="38" t="str">
        <f aca="false">IF($N114="SI",$M114,"")</f>
        <v/>
      </c>
    </row>
    <row r="115" customFormat="false" ht="15" hidden="false" customHeight="true" outlineLevel="0" collapsed="false">
      <c r="A115" s="33"/>
      <c r="B115" s="33"/>
      <c r="C115" s="34"/>
      <c r="D115" s="35"/>
      <c r="E115" s="35"/>
      <c r="F115" s="36"/>
      <c r="G115" s="37"/>
      <c r="H115" s="38" t="str">
        <f aca="false">IF(OR($F115="",$G115=""),"",$F115*(1-$G115))</f>
        <v/>
      </c>
      <c r="I115" s="36"/>
      <c r="J115" s="38" t="str">
        <f aca="false">IF($H115="","",$H115-IF($I115="",0,$I115))</f>
        <v/>
      </c>
      <c r="K115" s="38" t="str">
        <f aca="false">IF(OR($J115="",$D115=0),"",$J115/$D115)</f>
        <v/>
      </c>
      <c r="L115" s="39"/>
      <c r="M115" s="38" t="str">
        <f aca="false">IF(OR($K115="",$L115=""),"",$K115*$L115)</f>
        <v/>
      </c>
      <c r="N115" s="33"/>
      <c r="O115" s="34"/>
      <c r="P115" s="33"/>
      <c r="Q115" s="33"/>
      <c r="R115" s="38" t="str">
        <f aca="false">IF($N115="SI",$M115,"")</f>
        <v/>
      </c>
    </row>
    <row r="116" customFormat="false" ht="15" hidden="false" customHeight="true" outlineLevel="0" collapsed="false">
      <c r="A116" s="33"/>
      <c r="B116" s="33"/>
      <c r="C116" s="34"/>
      <c r="D116" s="35"/>
      <c r="E116" s="35"/>
      <c r="F116" s="36"/>
      <c r="G116" s="37"/>
      <c r="H116" s="38" t="str">
        <f aca="false">IF(OR($F116="",$G116=""),"",$F116*(1-$G116))</f>
        <v/>
      </c>
      <c r="I116" s="36"/>
      <c r="J116" s="38" t="str">
        <f aca="false">IF($H116="","",$H116-IF($I116="",0,$I116))</f>
        <v/>
      </c>
      <c r="K116" s="38" t="str">
        <f aca="false">IF(OR($J116="",$D116=0),"",$J116/$D116)</f>
        <v/>
      </c>
      <c r="L116" s="39"/>
      <c r="M116" s="38" t="str">
        <f aca="false">IF(OR($K116="",$L116=""),"",$K116*$L116)</f>
        <v/>
      </c>
      <c r="N116" s="33"/>
      <c r="O116" s="34"/>
      <c r="P116" s="33"/>
      <c r="Q116" s="33"/>
      <c r="R116" s="38" t="str">
        <f aca="false">IF($N116="SI",$M116,"")</f>
        <v/>
      </c>
    </row>
    <row r="117" customFormat="false" ht="15" hidden="false" customHeight="true" outlineLevel="0" collapsed="false">
      <c r="A117" s="33"/>
      <c r="B117" s="33"/>
      <c r="C117" s="34"/>
      <c r="D117" s="35"/>
      <c r="E117" s="35"/>
      <c r="F117" s="36"/>
      <c r="G117" s="37"/>
      <c r="H117" s="38" t="str">
        <f aca="false">IF(OR($F117="",$G117=""),"",$F117*(1-$G117))</f>
        <v/>
      </c>
      <c r="I117" s="36"/>
      <c r="J117" s="38" t="str">
        <f aca="false">IF($H117="","",$H117-IF($I117="",0,$I117))</f>
        <v/>
      </c>
      <c r="K117" s="38" t="str">
        <f aca="false">IF(OR($J117="",$D117=0),"",$J117/$D117)</f>
        <v/>
      </c>
      <c r="L117" s="39"/>
      <c r="M117" s="38" t="str">
        <f aca="false">IF(OR($K117="",$L117=""),"",$K117*$L117)</f>
        <v/>
      </c>
      <c r="N117" s="33"/>
      <c r="O117" s="34"/>
      <c r="P117" s="33"/>
      <c r="Q117" s="33"/>
      <c r="R117" s="38" t="str">
        <f aca="false">IF($N117="SI",$M117,"")</f>
        <v/>
      </c>
    </row>
    <row r="118" customFormat="false" ht="15" hidden="false" customHeight="true" outlineLevel="0" collapsed="false">
      <c r="A118" s="33"/>
      <c r="B118" s="33"/>
      <c r="C118" s="34"/>
      <c r="D118" s="35"/>
      <c r="E118" s="35"/>
      <c r="F118" s="36"/>
      <c r="G118" s="37"/>
      <c r="H118" s="38" t="str">
        <f aca="false">IF(OR($F118="",$G118=""),"",$F118*(1-$G118))</f>
        <v/>
      </c>
      <c r="I118" s="36"/>
      <c r="J118" s="38" t="str">
        <f aca="false">IF($H118="","",$H118-IF($I118="",0,$I118))</f>
        <v/>
      </c>
      <c r="K118" s="38" t="str">
        <f aca="false">IF(OR($J118="",$D118=0),"",$J118/$D118)</f>
        <v/>
      </c>
      <c r="L118" s="39"/>
      <c r="M118" s="38" t="str">
        <f aca="false">IF(OR($K118="",$L118=""),"",$K118*$L118)</f>
        <v/>
      </c>
      <c r="N118" s="33"/>
      <c r="O118" s="34"/>
      <c r="P118" s="33"/>
      <c r="Q118" s="33"/>
      <c r="R118" s="38" t="str">
        <f aca="false">IF($N118="SI",$M118,"")</f>
        <v/>
      </c>
    </row>
    <row r="119" customFormat="false" ht="15" hidden="false" customHeight="true" outlineLevel="0" collapsed="false">
      <c r="A119" s="33"/>
      <c r="B119" s="33"/>
      <c r="C119" s="34"/>
      <c r="D119" s="35"/>
      <c r="E119" s="35"/>
      <c r="F119" s="36"/>
      <c r="G119" s="37"/>
      <c r="H119" s="38" t="str">
        <f aca="false">IF(OR($F119="",$G119=""),"",$F119*(1-$G119))</f>
        <v/>
      </c>
      <c r="I119" s="36"/>
      <c r="J119" s="38" t="str">
        <f aca="false">IF($H119="","",$H119-IF($I119="",0,$I119))</f>
        <v/>
      </c>
      <c r="K119" s="38" t="str">
        <f aca="false">IF(OR($J119="",$D119=0),"",$J119/$D119)</f>
        <v/>
      </c>
      <c r="L119" s="39"/>
      <c r="M119" s="38" t="str">
        <f aca="false">IF(OR($K119="",$L119=""),"",$K119*$L119)</f>
        <v/>
      </c>
      <c r="N119" s="33"/>
      <c r="O119" s="34"/>
      <c r="P119" s="33"/>
      <c r="Q119" s="33"/>
      <c r="R119" s="38" t="str">
        <f aca="false">IF($N119="SI",$M119,"")</f>
        <v/>
      </c>
    </row>
    <row r="120" customFormat="false" ht="15" hidden="false" customHeight="true" outlineLevel="0" collapsed="false">
      <c r="A120" s="33"/>
      <c r="B120" s="33"/>
      <c r="C120" s="34"/>
      <c r="D120" s="35"/>
      <c r="E120" s="35"/>
      <c r="F120" s="36"/>
      <c r="G120" s="37"/>
      <c r="H120" s="38" t="str">
        <f aca="false">IF(OR($F120="",$G120=""),"",$F120*(1-$G120))</f>
        <v/>
      </c>
      <c r="I120" s="36"/>
      <c r="J120" s="38" t="str">
        <f aca="false">IF($H120="","",$H120-IF($I120="",0,$I120))</f>
        <v/>
      </c>
      <c r="K120" s="38" t="str">
        <f aca="false">IF(OR($J120="",$D120=0),"",$J120/$D120)</f>
        <v/>
      </c>
      <c r="L120" s="39"/>
      <c r="M120" s="38" t="str">
        <f aca="false">IF(OR($K120="",$L120=""),"",$K120*$L120)</f>
        <v/>
      </c>
      <c r="N120" s="33"/>
      <c r="O120" s="34"/>
      <c r="P120" s="33"/>
      <c r="Q120" s="33"/>
      <c r="R120" s="38" t="str">
        <f aca="false">IF($N120="SI",$M120,"")</f>
        <v/>
      </c>
    </row>
    <row r="121" customFormat="false" ht="15" hidden="false" customHeight="true" outlineLevel="0" collapsed="false">
      <c r="A121" s="33"/>
      <c r="B121" s="33"/>
      <c r="C121" s="34"/>
      <c r="D121" s="35"/>
      <c r="E121" s="35"/>
      <c r="F121" s="36"/>
      <c r="G121" s="37"/>
      <c r="H121" s="38" t="str">
        <f aca="false">IF(OR($F121="",$G121=""),"",$F121*(1-$G121))</f>
        <v/>
      </c>
      <c r="I121" s="36"/>
      <c r="J121" s="38" t="str">
        <f aca="false">IF($H121="","",$H121-IF($I121="",0,$I121))</f>
        <v/>
      </c>
      <c r="K121" s="38" t="str">
        <f aca="false">IF(OR($J121="",$D121=0),"",$J121/$D121)</f>
        <v/>
      </c>
      <c r="L121" s="39"/>
      <c r="M121" s="38" t="str">
        <f aca="false">IF(OR($K121="",$L121=""),"",$K121*$L121)</f>
        <v/>
      </c>
      <c r="N121" s="33"/>
      <c r="O121" s="34"/>
      <c r="P121" s="33"/>
      <c r="Q121" s="33"/>
      <c r="R121" s="38" t="str">
        <f aca="false">IF($N121="SI",$M121,"")</f>
        <v/>
      </c>
    </row>
    <row r="122" customFormat="false" ht="15" hidden="false" customHeight="true" outlineLevel="0" collapsed="false">
      <c r="A122" s="33"/>
      <c r="B122" s="33"/>
      <c r="C122" s="34"/>
      <c r="D122" s="35"/>
      <c r="E122" s="35"/>
      <c r="F122" s="36"/>
      <c r="G122" s="37"/>
      <c r="H122" s="38" t="str">
        <f aca="false">IF(OR($F122="",$G122=""),"",$F122*(1-$G122))</f>
        <v/>
      </c>
      <c r="I122" s="36"/>
      <c r="J122" s="38" t="str">
        <f aca="false">IF($H122="","",$H122-IF($I122="",0,$I122))</f>
        <v/>
      </c>
      <c r="K122" s="38" t="str">
        <f aca="false">IF(OR($J122="",$D122=0),"",$J122/$D122)</f>
        <v/>
      </c>
      <c r="L122" s="39"/>
      <c r="M122" s="38" t="str">
        <f aca="false">IF(OR($K122="",$L122=""),"",$K122*$L122)</f>
        <v/>
      </c>
      <c r="N122" s="33"/>
      <c r="O122" s="34"/>
      <c r="P122" s="33"/>
      <c r="Q122" s="33"/>
      <c r="R122" s="38" t="str">
        <f aca="false">IF($N122="SI",$M122,"")</f>
        <v/>
      </c>
    </row>
    <row r="123" customFormat="false" ht="15" hidden="false" customHeight="true" outlineLevel="0" collapsed="false">
      <c r="A123" s="33"/>
      <c r="B123" s="33"/>
      <c r="C123" s="34"/>
      <c r="D123" s="35"/>
      <c r="E123" s="35"/>
      <c r="F123" s="36"/>
      <c r="G123" s="37"/>
      <c r="H123" s="38" t="str">
        <f aca="false">IF(OR($F123="",$G123=""),"",$F123*(1-$G123))</f>
        <v/>
      </c>
      <c r="I123" s="36"/>
      <c r="J123" s="38" t="str">
        <f aca="false">IF($H123="","",$H123-IF($I123="",0,$I123))</f>
        <v/>
      </c>
      <c r="K123" s="38" t="str">
        <f aca="false">IF(OR($J123="",$D123=0),"",$J123/$D123)</f>
        <v/>
      </c>
      <c r="L123" s="39"/>
      <c r="M123" s="38" t="str">
        <f aca="false">IF(OR($K123="",$L123=""),"",$K123*$L123)</f>
        <v/>
      </c>
      <c r="N123" s="33"/>
      <c r="O123" s="34"/>
      <c r="P123" s="33"/>
      <c r="Q123" s="33"/>
      <c r="R123" s="38" t="str">
        <f aca="false">IF($N123="SI",$M123,"")</f>
        <v/>
      </c>
    </row>
    <row r="124" customFormat="false" ht="15" hidden="false" customHeight="true" outlineLevel="0" collapsed="false">
      <c r="A124" s="33"/>
      <c r="B124" s="33"/>
      <c r="C124" s="34"/>
      <c r="D124" s="35"/>
      <c r="E124" s="35"/>
      <c r="F124" s="36"/>
      <c r="G124" s="37"/>
      <c r="H124" s="38" t="str">
        <f aca="false">IF(OR($F124="",$G124=""),"",$F124*(1-$G124))</f>
        <v/>
      </c>
      <c r="I124" s="36"/>
      <c r="J124" s="38" t="str">
        <f aca="false">IF($H124="","",$H124-IF($I124="",0,$I124))</f>
        <v/>
      </c>
      <c r="K124" s="38" t="str">
        <f aca="false">IF(OR($J124="",$D124=0),"",$J124/$D124)</f>
        <v/>
      </c>
      <c r="L124" s="39"/>
      <c r="M124" s="38" t="str">
        <f aca="false">IF(OR($K124="",$L124=""),"",$K124*$L124)</f>
        <v/>
      </c>
      <c r="N124" s="33"/>
      <c r="O124" s="34"/>
      <c r="P124" s="33"/>
      <c r="Q124" s="33"/>
      <c r="R124" s="38" t="str">
        <f aca="false">IF($N124="SI",$M124,"")</f>
        <v/>
      </c>
    </row>
    <row r="125" customFormat="false" ht="15" hidden="false" customHeight="true" outlineLevel="0" collapsed="false">
      <c r="A125" s="33"/>
      <c r="B125" s="33"/>
      <c r="C125" s="34"/>
      <c r="D125" s="35"/>
      <c r="E125" s="35"/>
      <c r="F125" s="36"/>
      <c r="G125" s="37"/>
      <c r="H125" s="38" t="str">
        <f aca="false">IF(OR($F125="",$G125=""),"",$F125*(1-$G125))</f>
        <v/>
      </c>
      <c r="I125" s="36"/>
      <c r="J125" s="38" t="str">
        <f aca="false">IF($H125="","",$H125-IF($I125="",0,$I125))</f>
        <v/>
      </c>
      <c r="K125" s="38" t="str">
        <f aca="false">IF(OR($J125="",$D125=0),"",$J125/$D125)</f>
        <v/>
      </c>
      <c r="L125" s="39"/>
      <c r="M125" s="38" t="str">
        <f aca="false">IF(OR($K125="",$L125=""),"",$K125*$L125)</f>
        <v/>
      </c>
      <c r="N125" s="33"/>
      <c r="O125" s="34"/>
      <c r="P125" s="33"/>
      <c r="Q125" s="33"/>
      <c r="R125" s="38" t="str">
        <f aca="false">IF($N125="SI",$M125,"")</f>
        <v/>
      </c>
    </row>
    <row r="126" customFormat="false" ht="15" hidden="false" customHeight="true" outlineLevel="0" collapsed="false">
      <c r="A126" s="33"/>
      <c r="B126" s="33"/>
      <c r="C126" s="34"/>
      <c r="D126" s="35"/>
      <c r="E126" s="35"/>
      <c r="F126" s="36"/>
      <c r="G126" s="37"/>
      <c r="H126" s="38" t="str">
        <f aca="false">IF(OR($F126="",$G126=""),"",$F126*(1-$G126))</f>
        <v/>
      </c>
      <c r="I126" s="36"/>
      <c r="J126" s="38" t="str">
        <f aca="false">IF($H126="","",$H126-IF($I126="",0,$I126))</f>
        <v/>
      </c>
      <c r="K126" s="38" t="str">
        <f aca="false">IF(OR($J126="",$D126=0),"",$J126/$D126)</f>
        <v/>
      </c>
      <c r="L126" s="39"/>
      <c r="M126" s="38" t="str">
        <f aca="false">IF(OR($K126="",$L126=""),"",$K126*$L126)</f>
        <v/>
      </c>
      <c r="N126" s="33"/>
      <c r="O126" s="34"/>
      <c r="P126" s="33"/>
      <c r="Q126" s="33"/>
      <c r="R126" s="38" t="str">
        <f aca="false">IF($N126="SI",$M126,"")</f>
        <v/>
      </c>
    </row>
    <row r="127" customFormat="false" ht="15" hidden="false" customHeight="true" outlineLevel="0" collapsed="false">
      <c r="A127" s="33"/>
      <c r="B127" s="33"/>
      <c r="C127" s="34"/>
      <c r="D127" s="35"/>
      <c r="E127" s="35"/>
      <c r="F127" s="36"/>
      <c r="G127" s="37"/>
      <c r="H127" s="38" t="str">
        <f aca="false">IF(OR($F127="",$G127=""),"",$F127*(1-$G127))</f>
        <v/>
      </c>
      <c r="I127" s="36"/>
      <c r="J127" s="38" t="str">
        <f aca="false">IF($H127="","",$H127-IF($I127="",0,$I127))</f>
        <v/>
      </c>
      <c r="K127" s="38" t="str">
        <f aca="false">IF(OR($J127="",$D127=0),"",$J127/$D127)</f>
        <v/>
      </c>
      <c r="L127" s="39"/>
      <c r="M127" s="38" t="str">
        <f aca="false">IF(OR($K127="",$L127=""),"",$K127*$L127)</f>
        <v/>
      </c>
      <c r="N127" s="33"/>
      <c r="O127" s="34"/>
      <c r="P127" s="33"/>
      <c r="Q127" s="33"/>
      <c r="R127" s="38" t="str">
        <f aca="false">IF($N127="SI",$M127,"")</f>
        <v/>
      </c>
    </row>
    <row r="128" customFormat="false" ht="15" hidden="false" customHeight="true" outlineLevel="0" collapsed="false">
      <c r="A128" s="33"/>
      <c r="B128" s="33"/>
      <c r="C128" s="34"/>
      <c r="D128" s="35"/>
      <c r="E128" s="35"/>
      <c r="F128" s="36"/>
      <c r="G128" s="37"/>
      <c r="H128" s="38" t="str">
        <f aca="false">IF(OR($F128="",$G128=""),"",$F128*(1-$G128))</f>
        <v/>
      </c>
      <c r="I128" s="36"/>
      <c r="J128" s="38" t="str">
        <f aca="false">IF($H128="","",$H128-IF($I128="",0,$I128))</f>
        <v/>
      </c>
      <c r="K128" s="38" t="str">
        <f aca="false">IF(OR($J128="",$D128=0),"",$J128/$D128)</f>
        <v/>
      </c>
      <c r="L128" s="39"/>
      <c r="M128" s="38" t="str">
        <f aca="false">IF(OR($K128="",$L128=""),"",$K128*$L128)</f>
        <v/>
      </c>
      <c r="N128" s="33"/>
      <c r="O128" s="34"/>
      <c r="P128" s="33"/>
      <c r="Q128" s="33"/>
      <c r="R128" s="38" t="str">
        <f aca="false">IF($N128="SI",$M128,"")</f>
        <v/>
      </c>
    </row>
    <row r="129" customFormat="false" ht="15" hidden="false" customHeight="true" outlineLevel="0" collapsed="false">
      <c r="A129" s="33"/>
      <c r="B129" s="33"/>
      <c r="C129" s="34"/>
      <c r="D129" s="35"/>
      <c r="E129" s="35"/>
      <c r="F129" s="36"/>
      <c r="G129" s="37"/>
      <c r="H129" s="38" t="str">
        <f aca="false">IF(OR($F129="",$G129=""),"",$F129*(1-$G129))</f>
        <v/>
      </c>
      <c r="I129" s="36"/>
      <c r="J129" s="38" t="str">
        <f aca="false">IF($H129="","",$H129-IF($I129="",0,$I129))</f>
        <v/>
      </c>
      <c r="K129" s="38" t="str">
        <f aca="false">IF(OR($J129="",$D129=0),"",$J129/$D129)</f>
        <v/>
      </c>
      <c r="L129" s="39"/>
      <c r="M129" s="38" t="str">
        <f aca="false">IF(OR($K129="",$L129=""),"",$K129*$L129)</f>
        <v/>
      </c>
      <c r="N129" s="33"/>
      <c r="O129" s="34"/>
      <c r="P129" s="33"/>
      <c r="Q129" s="33"/>
      <c r="R129" s="38" t="str">
        <f aca="false">IF($N129="SI",$M129,"")</f>
        <v/>
      </c>
    </row>
    <row r="130" customFormat="false" ht="15" hidden="false" customHeight="true" outlineLevel="0" collapsed="false">
      <c r="A130" s="33"/>
      <c r="B130" s="33"/>
      <c r="C130" s="34"/>
      <c r="D130" s="35"/>
      <c r="E130" s="35"/>
      <c r="F130" s="36"/>
      <c r="G130" s="37"/>
      <c r="H130" s="38" t="str">
        <f aca="false">IF(OR($F130="",$G130=""),"",$F130*(1-$G130))</f>
        <v/>
      </c>
      <c r="I130" s="36"/>
      <c r="J130" s="38" t="str">
        <f aca="false">IF($H130="","",$H130-IF($I130="",0,$I130))</f>
        <v/>
      </c>
      <c r="K130" s="38" t="str">
        <f aca="false">IF(OR($J130="",$D130=0),"",$J130/$D130)</f>
        <v/>
      </c>
      <c r="L130" s="39"/>
      <c r="M130" s="38" t="str">
        <f aca="false">IF(OR($K130="",$L130=""),"",$K130*$L130)</f>
        <v/>
      </c>
      <c r="N130" s="33"/>
      <c r="O130" s="34"/>
      <c r="P130" s="33"/>
      <c r="Q130" s="33"/>
      <c r="R130" s="38" t="str">
        <f aca="false">IF($N130="SI",$M130,"")</f>
        <v/>
      </c>
    </row>
    <row r="131" customFormat="false" ht="15" hidden="false" customHeight="true" outlineLevel="0" collapsed="false">
      <c r="A131" s="33"/>
      <c r="B131" s="33"/>
      <c r="C131" s="34"/>
      <c r="D131" s="35"/>
      <c r="E131" s="35"/>
      <c r="F131" s="36"/>
      <c r="G131" s="37"/>
      <c r="H131" s="38" t="str">
        <f aca="false">IF(OR($F131="",$G131=""),"",$F131*(1-$G131))</f>
        <v/>
      </c>
      <c r="I131" s="36"/>
      <c r="J131" s="38" t="str">
        <f aca="false">IF($H131="","",$H131-IF($I131="",0,$I131))</f>
        <v/>
      </c>
      <c r="K131" s="38" t="str">
        <f aca="false">IF(OR($J131="",$D131=0),"",$J131/$D131)</f>
        <v/>
      </c>
      <c r="L131" s="39"/>
      <c r="M131" s="38" t="str">
        <f aca="false">IF(OR($K131="",$L131=""),"",$K131*$L131)</f>
        <v/>
      </c>
      <c r="N131" s="33"/>
      <c r="O131" s="34"/>
      <c r="P131" s="33"/>
      <c r="Q131" s="33"/>
      <c r="R131" s="38" t="str">
        <f aca="false">IF($N131="SI",$M131,"")</f>
        <v/>
      </c>
    </row>
    <row r="132" customFormat="false" ht="15" hidden="false" customHeight="true" outlineLevel="0" collapsed="false">
      <c r="A132" s="33"/>
      <c r="B132" s="33"/>
      <c r="C132" s="34"/>
      <c r="D132" s="35"/>
      <c r="E132" s="35"/>
      <c r="F132" s="36"/>
      <c r="G132" s="37"/>
      <c r="H132" s="38" t="str">
        <f aca="false">IF(OR($F132="",$G132=""),"",$F132*(1-$G132))</f>
        <v/>
      </c>
      <c r="I132" s="36"/>
      <c r="J132" s="38" t="str">
        <f aca="false">IF($H132="","",$H132-IF($I132="",0,$I132))</f>
        <v/>
      </c>
      <c r="K132" s="38" t="str">
        <f aca="false">IF(OR($J132="",$D132=0),"",$J132/$D132)</f>
        <v/>
      </c>
      <c r="L132" s="39"/>
      <c r="M132" s="38" t="str">
        <f aca="false">IF(OR($K132="",$L132=""),"",$K132*$L132)</f>
        <v/>
      </c>
      <c r="N132" s="33"/>
      <c r="O132" s="34"/>
      <c r="P132" s="33"/>
      <c r="Q132" s="33"/>
      <c r="R132" s="38" t="str">
        <f aca="false">IF($N132="SI",$M132,"")</f>
        <v/>
      </c>
    </row>
    <row r="133" customFormat="false" ht="15" hidden="false" customHeight="true" outlineLevel="0" collapsed="false">
      <c r="A133" s="33"/>
      <c r="B133" s="33"/>
      <c r="C133" s="34"/>
      <c r="D133" s="35"/>
      <c r="E133" s="35"/>
      <c r="F133" s="36"/>
      <c r="G133" s="37"/>
      <c r="H133" s="38" t="str">
        <f aca="false">IF(OR($F133="",$G133=""),"",$F133*(1-$G133))</f>
        <v/>
      </c>
      <c r="I133" s="36"/>
      <c r="J133" s="38" t="str">
        <f aca="false">IF($H133="","",$H133-IF($I133="",0,$I133))</f>
        <v/>
      </c>
      <c r="K133" s="38" t="str">
        <f aca="false">IF(OR($J133="",$D133=0),"",$J133/$D133)</f>
        <v/>
      </c>
      <c r="L133" s="39"/>
      <c r="M133" s="38" t="str">
        <f aca="false">IF(OR($K133="",$L133=""),"",$K133*$L133)</f>
        <v/>
      </c>
      <c r="N133" s="33"/>
      <c r="O133" s="34"/>
      <c r="P133" s="33"/>
      <c r="Q133" s="33"/>
      <c r="R133" s="38" t="str">
        <f aca="false">IF($N133="SI",$M133,"")</f>
        <v/>
      </c>
    </row>
    <row r="134" customFormat="false" ht="15" hidden="false" customHeight="true" outlineLevel="0" collapsed="false">
      <c r="A134" s="33"/>
      <c r="B134" s="33"/>
      <c r="C134" s="34"/>
      <c r="D134" s="35"/>
      <c r="E134" s="35"/>
      <c r="F134" s="36"/>
      <c r="G134" s="37"/>
      <c r="H134" s="38" t="str">
        <f aca="false">IF(OR($F134="",$G134=""),"",$F134*(1-$G134))</f>
        <v/>
      </c>
      <c r="I134" s="36"/>
      <c r="J134" s="38" t="str">
        <f aca="false">IF($H134="","",$H134-IF($I134="",0,$I134))</f>
        <v/>
      </c>
      <c r="K134" s="38" t="str">
        <f aca="false">IF(OR($J134="",$D134=0),"",$J134/$D134)</f>
        <v/>
      </c>
      <c r="L134" s="39"/>
      <c r="M134" s="38" t="str">
        <f aca="false">IF(OR($K134="",$L134=""),"",$K134*$L134)</f>
        <v/>
      </c>
      <c r="N134" s="33"/>
      <c r="O134" s="34"/>
      <c r="P134" s="33"/>
      <c r="Q134" s="33"/>
      <c r="R134" s="38" t="str">
        <f aca="false">IF($N134="SI",$M134,"")</f>
        <v/>
      </c>
    </row>
    <row r="135" customFormat="false" ht="15" hidden="false" customHeight="true" outlineLevel="0" collapsed="false">
      <c r="A135" s="33"/>
      <c r="B135" s="33"/>
      <c r="C135" s="34"/>
      <c r="D135" s="35"/>
      <c r="E135" s="35"/>
      <c r="F135" s="36"/>
      <c r="G135" s="37"/>
      <c r="H135" s="38" t="str">
        <f aca="false">IF(OR($F135="",$G135=""),"",$F135*(1-$G135))</f>
        <v/>
      </c>
      <c r="I135" s="36"/>
      <c r="J135" s="38" t="str">
        <f aca="false">IF($H135="","",$H135-IF($I135="",0,$I135))</f>
        <v/>
      </c>
      <c r="K135" s="38" t="str">
        <f aca="false">IF(OR($J135="",$D135=0),"",$J135/$D135)</f>
        <v/>
      </c>
      <c r="L135" s="39"/>
      <c r="M135" s="38" t="str">
        <f aca="false">IF(OR($K135="",$L135=""),"",$K135*$L135)</f>
        <v/>
      </c>
      <c r="N135" s="33"/>
      <c r="O135" s="34"/>
      <c r="P135" s="33"/>
      <c r="Q135" s="33"/>
      <c r="R135" s="38" t="str">
        <f aca="false">IF($N135="SI",$M135,"")</f>
        <v/>
      </c>
    </row>
    <row r="136" customFormat="false" ht="15" hidden="false" customHeight="true" outlineLevel="0" collapsed="false">
      <c r="A136" s="33"/>
      <c r="B136" s="33"/>
      <c r="C136" s="34"/>
      <c r="D136" s="35"/>
      <c r="E136" s="35"/>
      <c r="F136" s="36"/>
      <c r="G136" s="37"/>
      <c r="H136" s="38" t="str">
        <f aca="false">IF(OR($F136="",$G136=""),"",$F136*(1-$G136))</f>
        <v/>
      </c>
      <c r="I136" s="36"/>
      <c r="J136" s="38" t="str">
        <f aca="false">IF($H136="","",$H136-IF($I136="",0,$I136))</f>
        <v/>
      </c>
      <c r="K136" s="38" t="str">
        <f aca="false">IF(OR($J136="",$D136=0),"",$J136/$D136)</f>
        <v/>
      </c>
      <c r="L136" s="39"/>
      <c r="M136" s="38" t="str">
        <f aca="false">IF(OR($K136="",$L136=""),"",$K136*$L136)</f>
        <v/>
      </c>
      <c r="N136" s="33"/>
      <c r="O136" s="34"/>
      <c r="P136" s="33"/>
      <c r="Q136" s="33"/>
      <c r="R136" s="38" t="str">
        <f aca="false">IF($N136="SI",$M136,"")</f>
        <v/>
      </c>
    </row>
    <row r="137" customFormat="false" ht="15" hidden="false" customHeight="true" outlineLevel="0" collapsed="false">
      <c r="A137" s="33"/>
      <c r="B137" s="33"/>
      <c r="C137" s="34"/>
      <c r="D137" s="35"/>
      <c r="E137" s="35"/>
      <c r="F137" s="36"/>
      <c r="G137" s="37"/>
      <c r="H137" s="38" t="str">
        <f aca="false">IF(OR($F137="",$G137=""),"",$F137*(1-$G137))</f>
        <v/>
      </c>
      <c r="I137" s="36"/>
      <c r="J137" s="38" t="str">
        <f aca="false">IF($H137="","",$H137-IF($I137="",0,$I137))</f>
        <v/>
      </c>
      <c r="K137" s="38" t="str">
        <f aca="false">IF(OR($J137="",$D137=0),"",$J137/$D137)</f>
        <v/>
      </c>
      <c r="L137" s="39"/>
      <c r="M137" s="38" t="str">
        <f aca="false">IF(OR($K137="",$L137=""),"",$K137*$L137)</f>
        <v/>
      </c>
      <c r="N137" s="33"/>
      <c r="O137" s="34"/>
      <c r="P137" s="33"/>
      <c r="Q137" s="33"/>
      <c r="R137" s="38" t="str">
        <f aca="false">IF($N137="SI",$M137,"")</f>
        <v/>
      </c>
    </row>
    <row r="138" customFormat="false" ht="15" hidden="false" customHeight="true" outlineLevel="0" collapsed="false">
      <c r="A138" s="33"/>
      <c r="B138" s="33"/>
      <c r="C138" s="34"/>
      <c r="D138" s="35"/>
      <c r="E138" s="35"/>
      <c r="F138" s="36"/>
      <c r="G138" s="37"/>
      <c r="H138" s="38" t="str">
        <f aca="false">IF(OR($F138="",$G138=""),"",$F138*(1-$G138))</f>
        <v/>
      </c>
      <c r="I138" s="36"/>
      <c r="J138" s="38" t="str">
        <f aca="false">IF($H138="","",$H138-IF($I138="",0,$I138))</f>
        <v/>
      </c>
      <c r="K138" s="38" t="str">
        <f aca="false">IF(OR($J138="",$D138=0),"",$J138/$D138)</f>
        <v/>
      </c>
      <c r="L138" s="39"/>
      <c r="M138" s="38" t="str">
        <f aca="false">IF(OR($K138="",$L138=""),"",$K138*$L138)</f>
        <v/>
      </c>
      <c r="N138" s="33"/>
      <c r="O138" s="34"/>
      <c r="P138" s="33"/>
      <c r="Q138" s="33"/>
      <c r="R138" s="38" t="str">
        <f aca="false">IF($N138="SI",$M138,"")</f>
        <v/>
      </c>
    </row>
    <row r="139" customFormat="false" ht="15" hidden="false" customHeight="true" outlineLevel="0" collapsed="false">
      <c r="A139" s="33"/>
      <c r="B139" s="33"/>
      <c r="C139" s="34"/>
      <c r="D139" s="35"/>
      <c r="E139" s="35"/>
      <c r="F139" s="36"/>
      <c r="G139" s="37"/>
      <c r="H139" s="38" t="str">
        <f aca="false">IF(OR($F139="",$G139=""),"",$F139*(1-$G139))</f>
        <v/>
      </c>
      <c r="I139" s="36"/>
      <c r="J139" s="38" t="str">
        <f aca="false">IF($H139="","",$H139-IF($I139="",0,$I139))</f>
        <v/>
      </c>
      <c r="K139" s="38" t="str">
        <f aca="false">IF(OR($J139="",$D139=0),"",$J139/$D139)</f>
        <v/>
      </c>
      <c r="L139" s="39"/>
      <c r="M139" s="38" t="str">
        <f aca="false">IF(OR($K139="",$L139=""),"",$K139*$L139)</f>
        <v/>
      </c>
      <c r="N139" s="33"/>
      <c r="O139" s="34"/>
      <c r="P139" s="33"/>
      <c r="Q139" s="33"/>
      <c r="R139" s="38" t="str">
        <f aca="false">IF($N139="SI",$M139,"")</f>
        <v/>
      </c>
    </row>
    <row r="140" customFormat="false" ht="15" hidden="false" customHeight="true" outlineLevel="0" collapsed="false">
      <c r="A140" s="33"/>
      <c r="B140" s="33"/>
      <c r="C140" s="34"/>
      <c r="D140" s="35"/>
      <c r="E140" s="35"/>
      <c r="F140" s="36"/>
      <c r="G140" s="37"/>
      <c r="H140" s="38" t="str">
        <f aca="false">IF(OR($F140="",$G140=""),"",$F140*(1-$G140))</f>
        <v/>
      </c>
      <c r="I140" s="36"/>
      <c r="J140" s="38" t="str">
        <f aca="false">IF($H140="","",$H140-IF($I140="",0,$I140))</f>
        <v/>
      </c>
      <c r="K140" s="38" t="str">
        <f aca="false">IF(OR($J140="",$D140=0),"",$J140/$D140)</f>
        <v/>
      </c>
      <c r="L140" s="39"/>
      <c r="M140" s="38" t="str">
        <f aca="false">IF(OR($K140="",$L140=""),"",$K140*$L140)</f>
        <v/>
      </c>
      <c r="N140" s="33"/>
      <c r="O140" s="34"/>
      <c r="P140" s="33"/>
      <c r="Q140" s="33"/>
      <c r="R140" s="38" t="str">
        <f aca="false">IF($N140="SI",$M140,"")</f>
        <v/>
      </c>
    </row>
    <row r="141" customFormat="false" ht="15" hidden="false" customHeight="true" outlineLevel="0" collapsed="false">
      <c r="A141" s="33"/>
      <c r="B141" s="33"/>
      <c r="C141" s="34"/>
      <c r="D141" s="35"/>
      <c r="E141" s="35"/>
      <c r="F141" s="36"/>
      <c r="G141" s="37"/>
      <c r="H141" s="38" t="str">
        <f aca="false">IF(OR($F141="",$G141=""),"",$F141*(1-$G141))</f>
        <v/>
      </c>
      <c r="I141" s="36"/>
      <c r="J141" s="38" t="str">
        <f aca="false">IF($H141="","",$H141-IF($I141="",0,$I141))</f>
        <v/>
      </c>
      <c r="K141" s="38" t="str">
        <f aca="false">IF(OR($J141="",$D141=0),"",$J141/$D141)</f>
        <v/>
      </c>
      <c r="L141" s="39"/>
      <c r="M141" s="38" t="str">
        <f aca="false">IF(OR($K141="",$L141=""),"",$K141*$L141)</f>
        <v/>
      </c>
      <c r="N141" s="33"/>
      <c r="O141" s="34"/>
      <c r="P141" s="33"/>
      <c r="Q141" s="33"/>
      <c r="R141" s="38" t="str">
        <f aca="false">IF($N141="SI",$M141,"")</f>
        <v/>
      </c>
    </row>
    <row r="142" customFormat="false" ht="15" hidden="false" customHeight="true" outlineLevel="0" collapsed="false">
      <c r="A142" s="33"/>
      <c r="B142" s="33"/>
      <c r="C142" s="34"/>
      <c r="D142" s="35"/>
      <c r="E142" s="35"/>
      <c r="F142" s="36"/>
      <c r="G142" s="37"/>
      <c r="H142" s="38" t="str">
        <f aca="false">IF(OR($F142="",$G142=""),"",$F142*(1-$G142))</f>
        <v/>
      </c>
      <c r="I142" s="36"/>
      <c r="J142" s="38" t="str">
        <f aca="false">IF($H142="","",$H142-IF($I142="",0,$I142))</f>
        <v/>
      </c>
      <c r="K142" s="38" t="str">
        <f aca="false">IF(OR($J142="",$D142=0),"",$J142/$D142)</f>
        <v/>
      </c>
      <c r="L142" s="39"/>
      <c r="M142" s="38" t="str">
        <f aca="false">IF(OR($K142="",$L142=""),"",$K142*$L142)</f>
        <v/>
      </c>
      <c r="N142" s="33"/>
      <c r="O142" s="34"/>
      <c r="P142" s="33"/>
      <c r="Q142" s="33"/>
      <c r="R142" s="38" t="str">
        <f aca="false">IF($N142="SI",$M142,"")</f>
        <v/>
      </c>
    </row>
    <row r="143" customFormat="false" ht="15" hidden="false" customHeight="true" outlineLevel="0" collapsed="false">
      <c r="A143" s="33"/>
      <c r="B143" s="33"/>
      <c r="C143" s="34"/>
      <c r="D143" s="35"/>
      <c r="E143" s="35"/>
      <c r="F143" s="36"/>
      <c r="G143" s="37"/>
      <c r="H143" s="38" t="str">
        <f aca="false">IF(OR($F143="",$G143=""),"",$F143*(1-$G143))</f>
        <v/>
      </c>
      <c r="I143" s="36"/>
      <c r="J143" s="38" t="str">
        <f aca="false">IF($H143="","",$H143-IF($I143="",0,$I143))</f>
        <v/>
      </c>
      <c r="K143" s="38" t="str">
        <f aca="false">IF(OR($J143="",$D143=0),"",$J143/$D143)</f>
        <v/>
      </c>
      <c r="L143" s="39"/>
      <c r="M143" s="38" t="str">
        <f aca="false">IF(OR($K143="",$L143=""),"",$K143*$L143)</f>
        <v/>
      </c>
      <c r="N143" s="33"/>
      <c r="O143" s="34"/>
      <c r="P143" s="33"/>
      <c r="Q143" s="33"/>
      <c r="R143" s="38" t="str">
        <f aca="false">IF($N143="SI",$M143,"")</f>
        <v/>
      </c>
    </row>
    <row r="144" customFormat="false" ht="15" hidden="false" customHeight="true" outlineLevel="0" collapsed="false">
      <c r="A144" s="33"/>
      <c r="B144" s="33"/>
      <c r="C144" s="34"/>
      <c r="D144" s="35"/>
      <c r="E144" s="35"/>
      <c r="F144" s="36"/>
      <c r="G144" s="37"/>
      <c r="H144" s="38" t="str">
        <f aca="false">IF(OR($F144="",$G144=""),"",$F144*(1-$G144))</f>
        <v/>
      </c>
      <c r="I144" s="36"/>
      <c r="J144" s="38" t="str">
        <f aca="false">IF($H144="","",$H144-IF($I144="",0,$I144))</f>
        <v/>
      </c>
      <c r="K144" s="38" t="str">
        <f aca="false">IF(OR($J144="",$D144=0),"",$J144/$D144)</f>
        <v/>
      </c>
      <c r="L144" s="39"/>
      <c r="M144" s="38" t="str">
        <f aca="false">IF(OR($K144="",$L144=""),"",$K144*$L144)</f>
        <v/>
      </c>
      <c r="N144" s="33"/>
      <c r="O144" s="34"/>
      <c r="P144" s="33"/>
      <c r="Q144" s="33"/>
      <c r="R144" s="38" t="str">
        <f aca="false">IF($N144="SI",$M144,"")</f>
        <v/>
      </c>
    </row>
    <row r="145" customFormat="false" ht="15" hidden="false" customHeight="true" outlineLevel="0" collapsed="false">
      <c r="A145" s="33"/>
      <c r="B145" s="33"/>
      <c r="C145" s="34"/>
      <c r="D145" s="35"/>
      <c r="E145" s="35"/>
      <c r="F145" s="36"/>
      <c r="G145" s="37"/>
      <c r="H145" s="38" t="str">
        <f aca="false">IF(OR($F145="",$G145=""),"",$F145*(1-$G145))</f>
        <v/>
      </c>
      <c r="I145" s="36"/>
      <c r="J145" s="38" t="str">
        <f aca="false">IF($H145="","",$H145-IF($I145="",0,$I145))</f>
        <v/>
      </c>
      <c r="K145" s="38" t="str">
        <f aca="false">IF(OR($J145="",$D145=0),"",$J145/$D145)</f>
        <v/>
      </c>
      <c r="L145" s="39"/>
      <c r="M145" s="38" t="str">
        <f aca="false">IF(OR($K145="",$L145=""),"",$K145*$L145)</f>
        <v/>
      </c>
      <c r="N145" s="33"/>
      <c r="O145" s="34"/>
      <c r="P145" s="33"/>
      <c r="Q145" s="33"/>
      <c r="R145" s="38" t="str">
        <f aca="false">IF($N145="SI",$M145,"")</f>
        <v/>
      </c>
    </row>
    <row r="146" customFormat="false" ht="15" hidden="false" customHeight="true" outlineLevel="0" collapsed="false">
      <c r="A146" s="33"/>
      <c r="B146" s="33"/>
      <c r="C146" s="34"/>
      <c r="D146" s="35"/>
      <c r="E146" s="35"/>
      <c r="F146" s="36"/>
      <c r="G146" s="37"/>
      <c r="H146" s="38" t="str">
        <f aca="false">IF(OR($F146="",$G146=""),"",$F146*(1-$G146))</f>
        <v/>
      </c>
      <c r="I146" s="36"/>
      <c r="J146" s="38" t="str">
        <f aca="false">IF($H146="","",$H146-IF($I146="",0,$I146))</f>
        <v/>
      </c>
      <c r="K146" s="38" t="str">
        <f aca="false">IF(OR($J146="",$D146=0),"",$J146/$D146)</f>
        <v/>
      </c>
      <c r="L146" s="39"/>
      <c r="M146" s="38" t="str">
        <f aca="false">IF(OR($K146="",$L146=""),"",$K146*$L146)</f>
        <v/>
      </c>
      <c r="N146" s="33"/>
      <c r="O146" s="34"/>
      <c r="P146" s="33"/>
      <c r="Q146" s="33"/>
      <c r="R146" s="38" t="str">
        <f aca="false">IF($N146="SI",$M146,"")</f>
        <v/>
      </c>
    </row>
    <row r="147" customFormat="false" ht="15" hidden="false" customHeight="true" outlineLevel="0" collapsed="false">
      <c r="A147" s="33"/>
      <c r="B147" s="33"/>
      <c r="C147" s="34"/>
      <c r="D147" s="35"/>
      <c r="E147" s="35"/>
      <c r="F147" s="36"/>
      <c r="G147" s="37"/>
      <c r="H147" s="38" t="str">
        <f aca="false">IF(OR($F147="",$G147=""),"",$F147*(1-$G147))</f>
        <v/>
      </c>
      <c r="I147" s="36"/>
      <c r="J147" s="38" t="str">
        <f aca="false">IF($H147="","",$H147-IF($I147="",0,$I147))</f>
        <v/>
      </c>
      <c r="K147" s="38" t="str">
        <f aca="false">IF(OR($J147="",$D147=0),"",$J147/$D147)</f>
        <v/>
      </c>
      <c r="L147" s="39"/>
      <c r="M147" s="38" t="str">
        <f aca="false">IF(OR($K147="",$L147=""),"",$K147*$L147)</f>
        <v/>
      </c>
      <c r="N147" s="33"/>
      <c r="O147" s="34"/>
      <c r="P147" s="33"/>
      <c r="Q147" s="33"/>
      <c r="R147" s="38" t="str">
        <f aca="false">IF($N147="SI",$M147,"")</f>
        <v/>
      </c>
    </row>
    <row r="148" customFormat="false" ht="15" hidden="false" customHeight="true" outlineLevel="0" collapsed="false">
      <c r="A148" s="33"/>
      <c r="B148" s="33"/>
      <c r="C148" s="34"/>
      <c r="D148" s="35"/>
      <c r="E148" s="35"/>
      <c r="F148" s="36"/>
      <c r="G148" s="37"/>
      <c r="H148" s="38" t="str">
        <f aca="false">IF(OR($F148="",$G148=""),"",$F148*(1-$G148))</f>
        <v/>
      </c>
      <c r="I148" s="36"/>
      <c r="J148" s="38" t="str">
        <f aca="false">IF($H148="","",$H148-IF($I148="",0,$I148))</f>
        <v/>
      </c>
      <c r="K148" s="38" t="str">
        <f aca="false">IF(OR($J148="",$D148=0),"",$J148/$D148)</f>
        <v/>
      </c>
      <c r="L148" s="39"/>
      <c r="M148" s="38" t="str">
        <f aca="false">IF(OR($K148="",$L148=""),"",$K148*$L148)</f>
        <v/>
      </c>
      <c r="N148" s="33"/>
      <c r="O148" s="34"/>
      <c r="P148" s="33"/>
      <c r="Q148" s="33"/>
      <c r="R148" s="38" t="str">
        <f aca="false">IF($N148="SI",$M148,"")</f>
        <v/>
      </c>
    </row>
    <row r="149" customFormat="false" ht="15" hidden="false" customHeight="true" outlineLevel="0" collapsed="false">
      <c r="A149" s="33"/>
      <c r="B149" s="33"/>
      <c r="C149" s="34"/>
      <c r="D149" s="35"/>
      <c r="E149" s="35"/>
      <c r="F149" s="36"/>
      <c r="G149" s="37"/>
      <c r="H149" s="38" t="str">
        <f aca="false">IF(OR($F149="",$G149=""),"",$F149*(1-$G149))</f>
        <v/>
      </c>
      <c r="I149" s="36"/>
      <c r="J149" s="38" t="str">
        <f aca="false">IF($H149="","",$H149-IF($I149="",0,$I149))</f>
        <v/>
      </c>
      <c r="K149" s="38" t="str">
        <f aca="false">IF(OR($J149="",$D149=0),"",$J149/$D149)</f>
        <v/>
      </c>
      <c r="L149" s="39"/>
      <c r="M149" s="38" t="str">
        <f aca="false">IF(OR($K149="",$L149=""),"",$K149*$L149)</f>
        <v/>
      </c>
      <c r="N149" s="33"/>
      <c r="O149" s="34"/>
      <c r="P149" s="33"/>
      <c r="Q149" s="33"/>
      <c r="R149" s="38" t="str">
        <f aca="false">IF($N149="SI",$M149,"")</f>
        <v/>
      </c>
    </row>
    <row r="150" customFormat="false" ht="15" hidden="false" customHeight="true" outlineLevel="0" collapsed="false">
      <c r="A150" s="33"/>
      <c r="B150" s="33"/>
      <c r="C150" s="34"/>
      <c r="D150" s="35"/>
      <c r="E150" s="35"/>
      <c r="F150" s="36"/>
      <c r="G150" s="37"/>
      <c r="H150" s="38" t="str">
        <f aca="false">IF(OR($F150="",$G150=""),"",$F150*(1-$G150))</f>
        <v/>
      </c>
      <c r="I150" s="36"/>
      <c r="J150" s="38" t="str">
        <f aca="false">IF($H150="","",$H150-IF($I150="",0,$I150))</f>
        <v/>
      </c>
      <c r="K150" s="38" t="str">
        <f aca="false">IF(OR($J150="",$D150=0),"",$J150/$D150)</f>
        <v/>
      </c>
      <c r="L150" s="39"/>
      <c r="M150" s="38" t="str">
        <f aca="false">IF(OR($K150="",$L150=""),"",$K150*$L150)</f>
        <v/>
      </c>
      <c r="N150" s="33"/>
      <c r="O150" s="34"/>
      <c r="P150" s="33"/>
      <c r="Q150" s="33"/>
      <c r="R150" s="38" t="str">
        <f aca="false">IF($N150="SI",$M150,"")</f>
        <v/>
      </c>
    </row>
    <row r="151" customFormat="false" ht="15" hidden="false" customHeight="true" outlineLevel="0" collapsed="false">
      <c r="A151" s="33"/>
      <c r="B151" s="33"/>
      <c r="C151" s="34"/>
      <c r="D151" s="35"/>
      <c r="E151" s="35"/>
      <c r="F151" s="36"/>
      <c r="G151" s="37"/>
      <c r="H151" s="38" t="str">
        <f aca="false">IF(OR($F151="",$G151=""),"",$F151*(1-$G151))</f>
        <v/>
      </c>
      <c r="I151" s="36"/>
      <c r="J151" s="38" t="str">
        <f aca="false">IF($H151="","",$H151-IF($I151="",0,$I151))</f>
        <v/>
      </c>
      <c r="K151" s="38" t="str">
        <f aca="false">IF(OR($J151="",$D151=0),"",$J151/$D151)</f>
        <v/>
      </c>
      <c r="L151" s="39"/>
      <c r="M151" s="38" t="str">
        <f aca="false">IF(OR($K151="",$L151=""),"",$K151*$L151)</f>
        <v/>
      </c>
      <c r="N151" s="33"/>
      <c r="O151" s="34"/>
      <c r="P151" s="33"/>
      <c r="Q151" s="33"/>
      <c r="R151" s="38" t="str">
        <f aca="false">IF($N151="SI",$M151,"")</f>
        <v/>
      </c>
    </row>
    <row r="152" customFormat="false" ht="15" hidden="false" customHeight="true" outlineLevel="0" collapsed="false">
      <c r="A152" s="33"/>
      <c r="B152" s="33"/>
      <c r="C152" s="34"/>
      <c r="D152" s="35"/>
      <c r="E152" s="35"/>
      <c r="F152" s="36"/>
      <c r="G152" s="37"/>
      <c r="H152" s="38" t="str">
        <f aca="false">IF(OR($F152="",$G152=""),"",$F152*(1-$G152))</f>
        <v/>
      </c>
      <c r="I152" s="36"/>
      <c r="J152" s="38" t="str">
        <f aca="false">IF($H152="","",$H152-IF($I152="",0,$I152))</f>
        <v/>
      </c>
      <c r="K152" s="38" t="str">
        <f aca="false">IF(OR($J152="",$D152=0),"",$J152/$D152)</f>
        <v/>
      </c>
      <c r="L152" s="39"/>
      <c r="M152" s="38" t="str">
        <f aca="false">IF(OR($K152="",$L152=""),"",$K152*$L152)</f>
        <v/>
      </c>
      <c r="N152" s="33"/>
      <c r="O152" s="34"/>
      <c r="P152" s="33"/>
      <c r="Q152" s="33"/>
      <c r="R152" s="38" t="str">
        <f aca="false">IF($N152="SI",$M152,"")</f>
        <v/>
      </c>
    </row>
    <row r="153" customFormat="false" ht="15" hidden="false" customHeight="true" outlineLevel="0" collapsed="false">
      <c r="A153" s="33"/>
      <c r="B153" s="33"/>
      <c r="C153" s="34"/>
      <c r="D153" s="35"/>
      <c r="E153" s="35"/>
      <c r="F153" s="36"/>
      <c r="G153" s="37"/>
      <c r="H153" s="38" t="str">
        <f aca="false">IF(OR($F153="",$G153=""),"",$F153*(1-$G153))</f>
        <v/>
      </c>
      <c r="I153" s="36"/>
      <c r="J153" s="38" t="str">
        <f aca="false">IF($H153="","",$H153-IF($I153="",0,$I153))</f>
        <v/>
      </c>
      <c r="K153" s="38" t="str">
        <f aca="false">IF(OR($J153="",$D153=0),"",$J153/$D153)</f>
        <v/>
      </c>
      <c r="L153" s="39"/>
      <c r="M153" s="38" t="str">
        <f aca="false">IF(OR($K153="",$L153=""),"",$K153*$L153)</f>
        <v/>
      </c>
      <c r="N153" s="33"/>
      <c r="O153" s="34"/>
      <c r="P153" s="33"/>
      <c r="Q153" s="33"/>
      <c r="R153" s="38" t="str">
        <f aca="false">IF($N153="SI",$M153,"")</f>
        <v/>
      </c>
    </row>
    <row r="154" customFormat="false" ht="15" hidden="false" customHeight="true" outlineLevel="0" collapsed="false">
      <c r="A154" s="33"/>
      <c r="B154" s="33"/>
      <c r="C154" s="34"/>
      <c r="D154" s="35"/>
      <c r="E154" s="35"/>
      <c r="F154" s="36"/>
      <c r="G154" s="37"/>
      <c r="H154" s="38" t="str">
        <f aca="false">IF(OR($F154="",$G154=""),"",$F154*(1-$G154))</f>
        <v/>
      </c>
      <c r="I154" s="36"/>
      <c r="J154" s="38" t="str">
        <f aca="false">IF($H154="","",$H154-IF($I154="",0,$I154))</f>
        <v/>
      </c>
      <c r="K154" s="38" t="str">
        <f aca="false">IF(OR($J154="",$D154=0),"",$J154/$D154)</f>
        <v/>
      </c>
      <c r="L154" s="39"/>
      <c r="M154" s="38" t="str">
        <f aca="false">IF(OR($K154="",$L154=""),"",$K154*$L154)</f>
        <v/>
      </c>
      <c r="N154" s="33"/>
      <c r="O154" s="34"/>
      <c r="P154" s="33"/>
      <c r="Q154" s="33"/>
      <c r="R154" s="38" t="str">
        <f aca="false">IF($N154="SI",$M154,"")</f>
        <v/>
      </c>
    </row>
    <row r="155" customFormat="false" ht="15" hidden="false" customHeight="true" outlineLevel="0" collapsed="false">
      <c r="A155" s="33"/>
      <c r="B155" s="33"/>
      <c r="C155" s="34"/>
      <c r="D155" s="35"/>
      <c r="E155" s="35"/>
      <c r="F155" s="36"/>
      <c r="G155" s="37"/>
      <c r="H155" s="38" t="str">
        <f aca="false">IF(OR($F155="",$G155=""),"",$F155*(1-$G155))</f>
        <v/>
      </c>
      <c r="I155" s="36"/>
      <c r="J155" s="38" t="str">
        <f aca="false">IF($H155="","",$H155-IF($I155="",0,$I155))</f>
        <v/>
      </c>
      <c r="K155" s="38" t="str">
        <f aca="false">IF(OR($J155="",$D155=0),"",$J155/$D155)</f>
        <v/>
      </c>
      <c r="L155" s="39"/>
      <c r="M155" s="38" t="str">
        <f aca="false">IF(OR($K155="",$L155=""),"",$K155*$L155)</f>
        <v/>
      </c>
      <c r="N155" s="33"/>
      <c r="O155" s="34"/>
      <c r="P155" s="33"/>
      <c r="Q155" s="33"/>
      <c r="R155" s="38" t="str">
        <f aca="false">IF($N155="SI",$M155,"")</f>
        <v/>
      </c>
    </row>
    <row r="156" customFormat="false" ht="15" hidden="false" customHeight="true" outlineLevel="0" collapsed="false">
      <c r="A156" s="33"/>
      <c r="B156" s="33"/>
      <c r="C156" s="34"/>
      <c r="D156" s="35"/>
      <c r="E156" s="35"/>
      <c r="F156" s="36"/>
      <c r="G156" s="37"/>
      <c r="H156" s="38" t="str">
        <f aca="false">IF(OR($F156="",$G156=""),"",$F156*(1-$G156))</f>
        <v/>
      </c>
      <c r="I156" s="36"/>
      <c r="J156" s="38" t="str">
        <f aca="false">IF($H156="","",$H156-IF($I156="",0,$I156))</f>
        <v/>
      </c>
      <c r="K156" s="38" t="str">
        <f aca="false">IF(OR($J156="",$D156=0),"",$J156/$D156)</f>
        <v/>
      </c>
      <c r="L156" s="39"/>
      <c r="M156" s="38" t="str">
        <f aca="false">IF(OR($K156="",$L156=""),"",$K156*$L156)</f>
        <v/>
      </c>
      <c r="N156" s="33"/>
      <c r="O156" s="34"/>
      <c r="P156" s="33"/>
      <c r="Q156" s="33"/>
      <c r="R156" s="38" t="str">
        <f aca="false">IF($N156="SI",$M156,"")</f>
        <v/>
      </c>
    </row>
    <row r="157" customFormat="false" ht="15" hidden="false" customHeight="true" outlineLevel="0" collapsed="false">
      <c r="A157" s="33"/>
      <c r="B157" s="33"/>
      <c r="C157" s="34"/>
      <c r="D157" s="35"/>
      <c r="E157" s="35"/>
      <c r="F157" s="36"/>
      <c r="G157" s="37"/>
      <c r="H157" s="38" t="str">
        <f aca="false">IF(OR($F157="",$G157=""),"",$F157*(1-$G157))</f>
        <v/>
      </c>
      <c r="I157" s="36"/>
      <c r="J157" s="38" t="str">
        <f aca="false">IF($H157="","",$H157-IF($I157="",0,$I157))</f>
        <v/>
      </c>
      <c r="K157" s="38" t="str">
        <f aca="false">IF(OR($J157="",$D157=0),"",$J157/$D157)</f>
        <v/>
      </c>
      <c r="L157" s="39"/>
      <c r="M157" s="38" t="str">
        <f aca="false">IF(OR($K157="",$L157=""),"",$K157*$L157)</f>
        <v/>
      </c>
      <c r="N157" s="33"/>
      <c r="O157" s="34"/>
      <c r="P157" s="33"/>
      <c r="Q157" s="33"/>
      <c r="R157" s="38" t="str">
        <f aca="false">IF($N157="SI",$M157,"")</f>
        <v/>
      </c>
    </row>
  </sheetData>
  <mergeCells count="2">
    <mergeCell ref="A1:R1"/>
    <mergeCell ref="A2:R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N7:N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60"/>
  </cols>
  <sheetData>
    <row r="2" customFormat="false" ht="15" hidden="false" customHeight="true" outlineLevel="0" collapsed="false">
      <c r="B2" s="20" t="s">
        <v>85</v>
      </c>
      <c r="C2" s="20"/>
      <c r="D2" s="20"/>
    </row>
    <row r="4" customFormat="false" ht="15" hidden="false" customHeight="true" outlineLevel="0" collapsed="false">
      <c r="B4" s="40" t="s">
        <v>86</v>
      </c>
      <c r="C4" s="41" t="n">
        <f aca="false">COUNTA(OFERTAS!$A$7:$A$157)</f>
        <v>1</v>
      </c>
      <c r="D4" s="42" t="s">
        <v>87</v>
      </c>
    </row>
    <row r="5" customFormat="false" ht="15" hidden="false" customHeight="true" outlineLevel="0" collapsed="false">
      <c r="B5" s="40" t="s">
        <v>88</v>
      </c>
      <c r="C5" s="41" t="n">
        <f aca="false">COUNTIF(OFERTAS!$N$7:$N$157,"SI")</f>
        <v>1</v>
      </c>
      <c r="D5" s="42" t="s">
        <v>89</v>
      </c>
    </row>
    <row r="6" customFormat="false" ht="15" hidden="false" customHeight="true" outlineLevel="0" collapsed="false">
      <c r="B6" s="40" t="s">
        <v>90</v>
      </c>
      <c r="C6" s="41" t="n">
        <f aca="false">COUNTIF(OFERTAS!$N$7:$N$157,"NO")</f>
        <v>0</v>
      </c>
      <c r="D6" s="42" t="s">
        <v>91</v>
      </c>
    </row>
    <row r="7" customFormat="false" ht="15" hidden="false" customHeight="true" outlineLevel="0" collapsed="false">
      <c r="B7" s="40" t="s">
        <v>92</v>
      </c>
      <c r="C7" s="43" t="n">
        <f aca="false">IF($C$5=0,"",AVERAGE(OFERTAS!$R$7:$R$157))</f>
        <v>656647.912885662</v>
      </c>
      <c r="D7" s="42" t="s">
        <v>93</v>
      </c>
    </row>
    <row r="8" customFormat="false" ht="15" hidden="false" customHeight="true" outlineLevel="0" collapsed="false">
      <c r="B8" s="40" t="s">
        <v>94</v>
      </c>
      <c r="C8" s="41" t="str">
        <f aca="false">IF($C$5&lt;2,"",STDEV(OFERTAS!$R$7:$R$157))</f>
        <v/>
      </c>
      <c r="D8" s="42" t="s">
        <v>95</v>
      </c>
    </row>
    <row r="9" customFormat="false" ht="15" hidden="false" customHeight="true" outlineLevel="0" collapsed="false">
      <c r="B9" s="40" t="s">
        <v>96</v>
      </c>
      <c r="C9" s="44" t="str">
        <f aca="false">IF(OR($C$8="",$C$7="",$C$7=0),"",$C$8/$C$7)</f>
        <v/>
      </c>
      <c r="D9" s="42" t="s">
        <v>97</v>
      </c>
    </row>
    <row r="10" customFormat="false" ht="15" hidden="false" customHeight="true" outlineLevel="0" collapsed="false">
      <c r="B10" s="40" t="s">
        <v>98</v>
      </c>
      <c r="C10" s="43" t="n">
        <f aca="false">IF($C$5=0,"",MAX(OFERTAS!$R$7:$R$157))</f>
        <v>656647.912885662</v>
      </c>
      <c r="D10" s="42"/>
    </row>
    <row r="11" customFormat="false" ht="15" hidden="false" customHeight="true" outlineLevel="0" collapsed="false">
      <c r="B11" s="40" t="s">
        <v>99</v>
      </c>
      <c r="C11" s="43" t="n">
        <f aca="false">IF($C$5=0,"",MIN(OFERTAS!$R$7:$R$157))</f>
        <v>656647.912885662</v>
      </c>
      <c r="D11" s="42"/>
    </row>
    <row r="12" customFormat="false" ht="21.75" hidden="false" customHeight="true" outlineLevel="0" collapsed="false">
      <c r="B12" s="45" t="s">
        <v>100</v>
      </c>
      <c r="C12" s="46" t="n">
        <f aca="false">IF($C$7="","",$C$7)</f>
        <v>656647.912885662</v>
      </c>
      <c r="D12" s="42" t="s">
        <v>101</v>
      </c>
    </row>
    <row r="13" customFormat="false" ht="15" hidden="false" customHeight="true" outlineLevel="0" collapsed="false">
      <c r="B13" s="40" t="s">
        <v>102</v>
      </c>
      <c r="C13" s="41" t="str">
        <f aca="false">IF($C$9="","",IF($C$9&lt;=0.2,"ACEPTABLE","REVISAR: dispersión alta"))</f>
        <v/>
      </c>
      <c r="D13" s="42" t="s">
        <v>103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2026-08-24T21:33:59Z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