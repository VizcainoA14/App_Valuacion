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DEPRECIAC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<sst xmlns="http://schemas.openxmlformats.org/spreadsheetml/2006/main" count="185" uniqueCount="104">
  <si>
    <t xml:space="preserve">PL-09 - Cálculo de Depreciación Acumulada y Deterioro</t>
  </si>
  <si>
    <t xml:space="preserve">Paso del proceso</t>
  </si>
  <si>
    <t xml:space="preserve">06 - Depreciación y deterioro</t>
  </si>
  <si>
    <t xml:space="preserve">Responsable de diligenciar</t>
  </si>
  <si>
    <t xml:space="preserve">Aplicación (cálculo) + Contador (validacion)</t>
  </si>
  <si>
    <t xml:space="preserve">Documento de referencia</t>
  </si>
  <si>
    <t xml:space="preserve">06_DEPRECIACION_Y_DETERIORO.md</t>
  </si>
  <si>
    <t xml:space="preserve">Se convierte en</t>
  </si>
  <si>
    <t xml:space="preserve">EN-06-01 Listado depurado de activos depreciables</t>
  </si>
  <si>
    <t xml:space="preserve">QUE SE DEBE SOLICITAR ANTES DE DILIGENCIAR</t>
  </si>
  <si>
    <t xml:space="preserve">-</t>
  </si>
  <si>
    <t xml:space="preserve">Costo de adquisición y adiciones por bien (PL-05)</t>
  </si>
  <si>
    <t xml:space="preserve">Vida útil contable por clase (PL-02)</t>
  </si>
  <si>
    <t xml:space="preserve">IN-06-04 ACTA firmada por el contador que define el metodo de conteo de meses</t>
  </si>
  <si>
    <t xml:space="preserve">IN-06-05 Politica de valor residual del Manual de Políticas Contables</t>
  </si>
  <si>
    <t xml:space="preserve">IN-06-06 Depreciación acumulada registrada en libros (PL-06)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</si>
  <si>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</si>
  <si>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</si>
  <si>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</si>
  <si>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</si>
  <si>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</si>
  <si>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</si>
  <si>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</si>
  <si>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</si>
  <si>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</si>
  <si>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</si>
  <si>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ANTES DE USAR: defina el METODO DE CONTEO en la celda J3. Escriba mes_completo o dias_exactos.</t>
  </si>
  <si>
    <t xml:space="preserve">El metodo debe constar en acta firmada por el contador: cambia el resultado de forma material.</t>
  </si>
  <si>
    <t xml:space="preserve">La celda H3 fija el % de valor residual (0 si la politica no lo contempla).</t>
  </si>
  <si>
    <t xml:space="preserve">La depreciación acumulada nunca supera la base depreciable: la formula aplica el tope automáticamente.</t>
  </si>
  <si>
    <t xml:space="preserve">Bienes sin costo o sin fecha NO se calculan: quedan vacios y deben reportarse aparte.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</si>
  <si>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</si>
  <si>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</si>
  <si>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</si>
  <si>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</si>
  <si>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</si>
  <si>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</si>
  <si>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</si>
  <si>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</si>
  <si>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</si>
  <si>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codigo_institucional</t>
  </si>
  <si>
    <t xml:space="preserve">texto</t>
  </si>
  <si>
    <t xml:space="preserve">SI</t>
  </si>
  <si>
    <t xml:space="preserve">placa</t>
  </si>
  <si>
    <t xml:space="preserve">no</t>
  </si>
  <si>
    <t xml:space="preserve">descripcion_bien</t>
  </si>
  <si>
    <t xml:space="preserve">clase_activo</t>
  </si>
  <si>
    <t xml:space="preserve">subcuenta_contable</t>
  </si>
  <si>
    <t xml:space="preserve">Viene de PL-02.</t>
  </si>
  <si>
    <t xml:space="preserve">servicio_ubicacion</t>
  </si>
  <si>
    <t xml:space="preserve">valor_adquisicion</t>
  </si>
  <si>
    <t xml:space="preserve">moneda</t>
  </si>
  <si>
    <t xml:space="preserve">Costo histórico. Viene de PL-05.</t>
  </si>
  <si>
    <t xml:space="preserve">adiciones_mejoras</t>
  </si>
  <si>
    <t xml:space="preserve">Solo capitalizables.</t>
  </si>
  <si>
    <t xml:space="preserve">saldo_final_ajustado</t>
  </si>
  <si>
    <t xml:space="preserve">CALC</t>
  </si>
  <si>
    <t xml:space="preserve">CALCULADA: valor de adquisición + adiciones.</t>
  </si>
  <si>
    <t xml:space="preserve">valor_residual</t>
  </si>
  <si>
    <t xml:space="preserve">CALCULADA según el % de la celda H3.</t>
  </si>
  <si>
    <t xml:space="preserve">base_depreciable</t>
  </si>
  <si>
    <t xml:space="preserve">CALCULADA: saldo ajustado - valor residual.</t>
  </si>
  <si>
    <t xml:space="preserve">fecha_adquisicion</t>
  </si>
  <si>
    <t xml:space="preserve">fecha</t>
  </si>
  <si>
    <t xml:space="preserve">Viene de PL-05.</t>
  </si>
  <si>
    <t xml:space="preserve">fecha_inicio_depreciacion</t>
  </si>
  <si>
    <t xml:space="preserve">Por defecto igual a fecha_adquisicion, salvo que la politica use la puesta en servicio.</t>
  </si>
  <si>
    <t xml:space="preserve">vida_util_meses</t>
  </si>
  <si>
    <t xml:space="preserve">entero</t>
  </si>
  <si>
    <t xml:space="preserve">Viene de PL-02. Ej: 180, 120, 60.</t>
  </si>
  <si>
    <t xml:space="preserve">depreciacion_mensual</t>
  </si>
  <si>
    <t xml:space="preserve">CALCULADA: base depreciable / vida útil en meses.</t>
  </si>
  <si>
    <t xml:space="preserve">meses_transcurridos</t>
  </si>
  <si>
    <t xml:space="preserve">CALCULADA según el metodo de la celda J3.</t>
  </si>
  <si>
    <t xml:space="preserve">depreciacion_acumulada</t>
  </si>
  <si>
    <t xml:space="preserve">CALCULADA con tope en la base depreciable.</t>
  </si>
  <si>
    <t xml:space="preserve">deterioro</t>
  </si>
  <si>
    <t xml:space="preserve">Solo si hay indicio objetivo documentado en PL-09b.</t>
  </si>
  <si>
    <t xml:space="preserve">saldo_por_depreciar</t>
  </si>
  <si>
    <t xml:space="preserve">CALCULADA: saldo ajustado - depreciación acumulada.</t>
  </si>
  <si>
    <t xml:space="preserve">valor_neto_libros</t>
  </si>
  <si>
    <t xml:space="preserve">CALCULADA: saldo - depreciación - deterioro.</t>
  </si>
  <si>
    <t xml:space="preserve">porcentaje_depreciado</t>
  </si>
  <si>
    <t xml:space="preserve">CALCULADA.</t>
  </si>
  <si>
    <t xml:space="preserve">depreciacion_libros</t>
  </si>
  <si>
    <t xml:space="preserve">La registrada en contabilidad (PL-06).</t>
  </si>
  <si>
    <t xml:space="preserve">diferencia_depreciacion</t>
  </si>
  <si>
    <t xml:space="preserve">CALCULADA: recalculada - libros. Es el ajuste a proponer.</t>
  </si>
  <si>
    <t xml:space="preserve">totalmente_depreciado</t>
  </si>
  <si>
    <t xml:space="preserve">{{ENTIDAD_RAZON_SOCIAL}}</t>
  </si>
  <si>
    <t xml:space="preserve">FECHA DE CORTE:</t>
  </si>
  <si>
    <t xml:space="preserve">&lt;-- CAMBIE ESTA FECHA Y TODO SE RECALCULA</t>
  </si>
  <si>
    <t xml:space="preserve">SEDE:</t>
  </si>
  <si>
    <t xml:space="preserve">RESIDUAL %</t>
  </si>
  <si>
    <t xml:space="preserve">METODO CONTEO</t>
  </si>
  <si>
    <t xml:space="preserve">dias_exactos</t>
  </si>
  <si>
    <t xml:space="preserve">Amarillo = diligenciar   |   Gris = calculado, no escribir   |   Fila 7 = ejemplo, borrela</t>
  </si>
  <si>
    <t xml:space="preserve">HSV01BNM01</t>
  </si>
  <si>
    <t xml:space="preserve">1660020011</t>
  </si>
  <si>
    <t xml:space="preserve">BANO MARIA</t>
  </si>
  <si>
    <t xml:space="preserve">EQUIPO MEDICO CIENTIFICO</t>
  </si>
  <si>
    <t xml:space="preserve">166002</t>
  </si>
  <si>
    <t xml:space="preserve">LABORATORIO CLINICO</t>
  </si>
  <si>
    <t xml:space="preserve">2018-04-27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</si>
</sst>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#,##0.00"/>
    <numFmt numFmtId="168" formatCode="0.00"/>
    <numFmt numFmtId="169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35" hidden="false" customHeight="fals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fals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2" customFormat="false" ht="15" hidden="false" customHeight="true" outlineLevel="0" collapsed="false">
      <c r="B12" s="6" t="s">
        <v>10</v>
      </c>
      <c r="C12" s="4" t="s">
        <v>13</v>
      </c>
      <c r="D12" s="4"/>
      <c r="E12" s="4"/>
    </row>
    <row r="13" customFormat="false" ht="15" hidden="false" customHeight="true" outlineLevel="0" collapsed="false">
      <c r="B13" s="6" t="s">
        <v>10</v>
      </c>
      <c r="C13" s="4" t="s">
        <v>14</v>
      </c>
      <c r="D13" s="4"/>
      <c r="E13" s="4"/>
    </row>
    <row r="14" customFormat="false" ht="15" hidden="false" customHeight="true" outlineLevel="0" collapsed="false">
      <c r="B14" s="6" t="s">
        <v>10</v>
      </c>
      <c r="C14" s="4" t="s">
        <v>15</v>
      </c>
      <c r="D14" s="4"/>
      <c r="E14" s="4"/>
    </row>
    <row r="16" customFormat="false" ht="15" hidden="false" customHeight="false" outlineLevel="0" collapsed="false">
      <c r="B16" s="5" t="s">
        <v>16</v>
      </c>
    </row>
    <row r="17" customFormat="false" ht="15" hidden="false" customHeight="false" outlineLevel="0" collapsed="false">
      <c r="B17" s="7" t="s">
        <v>17</v>
      </c>
      <c r="C17" s="8" t="s">
        <v>18</v>
      </c>
      <c r="D17" s="8"/>
      <c r="E17" s="8"/>
    </row>
    <row r="18" customFormat="false" ht="15" hidden="false" customHeight="false" outlineLevel="0" collapsed="false">
      <c r="B18" s="9" t="s">
        <v>19</v>
      </c>
      <c r="C18" s="8" t="s">
        <v>20</v>
      </c>
      <c r="D18" s="8"/>
      <c r="E18" s="8"/>
    </row>
    <row r="19" customFormat="false" ht="15" hidden="false" customHeight="false" outlineLevel="0" collapsed="false">
      <c r="B19" s="10" t="s">
        <v>21</v>
      </c>
      <c r="C19" s="8" t="s">
        <v>22</v>
      </c>
      <c r="D19" s="8"/>
      <c r="E19" s="8"/>
    </row>
    <row r="20" customFormat="false" ht="15" hidden="false" customHeight="false" outlineLevel="0" collapsed="false">
      <c r="B20" s="11" t="s">
        <v>23</v>
      </c>
      <c r="C20" s="8" t="s">
        <v>24</v>
      </c>
      <c r="D20" s="8"/>
      <c r="E20" s="8"/>
    </row>
    <row r="22" customFormat="false" ht="15" hidden="false" customHeight="false" outlineLevel="0" collapsed="false">
      <c r="B22" s="5" t="s">
        <v>25</v>
      </c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8" customFormat="false" ht="15" hidden="false" customHeight="true" outlineLevel="0" collapsed="false">
      <c r="B28" s="6" t="s">
        <v>10</v>
      </c>
      <c r="C28" s="4" t="s">
        <v>31</v>
      </c>
      <c r="D28" s="4"/>
      <c r="E28" s="4"/>
    </row>
    <row r="29" customFormat="false" ht="15" hidden="false" customHeight="true" outlineLevel="0" collapsed="false">
      <c r="B29" s="6" t="s">
        <v>10</v>
      </c>
      <c r="C29" s="4" t="s">
        <v>32</v>
      </c>
      <c r="D29" s="4"/>
      <c r="E29" s="4"/>
    </row>
    <row r="30" customFormat="false" ht="15" hidden="false" customHeight="true" outlineLevel="0" collapsed="false">
      <c r="B30" s="6" t="s">
        <v>10</v>
      </c>
      <c r="C30" s="4" t="s">
        <v>33</v>
      </c>
      <c r="D30" s="4"/>
      <c r="E30" s="4"/>
    </row>
    <row r="31" customFormat="false" ht="15" hidden="false" customHeight="true" outlineLevel="0" collapsed="false">
      <c r="B31" s="6" t="s">
        <v>10</v>
      </c>
      <c r="C31" s="4" t="s">
        <v>34</v>
      </c>
      <c r="D31" s="4"/>
      <c r="E31" s="4"/>
    </row>
    <row r="33" customFormat="false" ht="15" hidden="false" customHeight="false" outlineLevel="0" collapsed="false">
      <c r="B33" s="5" t="s">
        <v>35</v>
      </c>
    </row>
    <row r="34" customFormat="false" ht="15" hidden="false" customHeight="false" outlineLevel="0" collapsed="false">
      <c r="B34" s="12" t="s">
        <v>36</v>
      </c>
      <c r="C34" s="12" t="s">
        <v>37</v>
      </c>
      <c r="D34" s="12" t="s">
        <v>38</v>
      </c>
      <c r="E34" s="12" t="s">
        <v>39</v>
      </c>
    </row>
    <row r="35" customFormat="false" ht="15" hidden="false" customHeight="false" outlineLevel="0" collapsed="false">
      <c r="B35" s="13" t="s">
        <v>40</v>
      </c>
      <c r="C35" s="13" t="s">
        <v>41</v>
      </c>
      <c r="D35" s="14" t="s">
        <v>42</v>
      </c>
      <c r="E35" s="15"/>
    </row>
    <row r="36" customFormat="false" ht="15" hidden="false" customHeight="false" outlineLevel="0" collapsed="false">
      <c r="B36" s="13" t="s">
        <v>43</v>
      </c>
      <c r="C36" s="13" t="s">
        <v>41</v>
      </c>
      <c r="D36" s="16" t="s">
        <v>44</v>
      </c>
      <c r="E36" s="15"/>
    </row>
    <row r="37" customFormat="false" ht="15" hidden="false" customHeight="false" outlineLevel="0" collapsed="false">
      <c r="B37" s="13" t="s">
        <v>45</v>
      </c>
      <c r="C37" s="13" t="s">
        <v>41</v>
      </c>
      <c r="D37" s="14" t="s">
        <v>42</v>
      </c>
      <c r="E37" s="15"/>
    </row>
    <row r="38" customFormat="false" ht="15" hidden="false" customHeight="false" outlineLevel="0" collapsed="false">
      <c r="B38" s="13" t="s">
        <v>46</v>
      </c>
      <c r="C38" s="13" t="s">
        <v>41</v>
      </c>
      <c r="D38" s="14" t="s">
        <v>42</v>
      </c>
      <c r="E38" s="15"/>
    </row>
    <row r="39" customFormat="false" ht="15" hidden="false" customHeight="false" outlineLevel="0" collapsed="false">
      <c r="B39" s="13" t="s">
        <v>47</v>
      </c>
      <c r="C39" s="13" t="s">
        <v>41</v>
      </c>
      <c r="D39" s="14" t="s">
        <v>42</v>
      </c>
      <c r="E39" s="15" t="s">
        <v>48</v>
      </c>
    </row>
    <row r="40" customFormat="false" ht="15" hidden="false" customHeight="false" outlineLevel="0" collapsed="false">
      <c r="B40" s="13" t="s">
        <v>49</v>
      </c>
      <c r="C40" s="13" t="s">
        <v>41</v>
      </c>
      <c r="D40" s="14" t="s">
        <v>42</v>
      </c>
      <c r="E40" s="15"/>
    </row>
    <row r="41" customFormat="false" ht="15" hidden="false" customHeight="false" outlineLevel="0" collapsed="false">
      <c r="B41" s="13" t="s">
        <v>50</v>
      </c>
      <c r="C41" s="13" t="s">
        <v>51</v>
      </c>
      <c r="D41" s="14" t="s">
        <v>42</v>
      </c>
      <c r="E41" s="15" t="s">
        <v>52</v>
      </c>
    </row>
    <row r="42" customFormat="false" ht="15" hidden="false" customHeight="false" outlineLevel="0" collapsed="false">
      <c r="B42" s="13" t="s">
        <v>53</v>
      </c>
      <c r="C42" s="13" t="s">
        <v>51</v>
      </c>
      <c r="D42" s="16" t="s">
        <v>44</v>
      </c>
      <c r="E42" s="15" t="s">
        <v>54</v>
      </c>
    </row>
    <row r="43" customFormat="false" ht="15" hidden="false" customHeight="false" outlineLevel="0" collapsed="false">
      <c r="B43" s="17" t="s">
        <v>55</v>
      </c>
      <c r="C43" s="17" t="s">
        <v>41</v>
      </c>
      <c r="D43" s="18" t="s">
        <v>56</v>
      </c>
      <c r="E43" s="19" t="s">
        <v>57</v>
      </c>
    </row>
    <row r="44" customFormat="false" ht="15" hidden="false" customHeight="false" outlineLevel="0" collapsed="false">
      <c r="B44" s="17" t="s">
        <v>58</v>
      </c>
      <c r="C44" s="17" t="s">
        <v>41</v>
      </c>
      <c r="D44" s="18" t="s">
        <v>56</v>
      </c>
      <c r="E44" s="19" t="s">
        <v>59</v>
      </c>
    </row>
    <row r="45" customFormat="false" ht="15" hidden="false" customHeight="false" outlineLevel="0" collapsed="false">
      <c r="B45" s="17" t="s">
        <v>60</v>
      </c>
      <c r="C45" s="17" t="s">
        <v>41</v>
      </c>
      <c r="D45" s="18" t="s">
        <v>56</v>
      </c>
      <c r="E45" s="19" t="s">
        <v>61</v>
      </c>
    </row>
    <row r="46" customFormat="false" ht="15" hidden="false" customHeight="false" outlineLevel="0" collapsed="false">
      <c r="B46" s="13" t="s">
        <v>62</v>
      </c>
      <c r="C46" s="13" t="s">
        <v>63</v>
      </c>
      <c r="D46" s="14" t="s">
        <v>42</v>
      </c>
      <c r="E46" s="15" t="s">
        <v>64</v>
      </c>
    </row>
    <row r="47" customFormat="false" ht="15" hidden="false" customHeight="false" outlineLevel="0" collapsed="false">
      <c r="B47" s="13" t="s">
        <v>65</v>
      </c>
      <c r="C47" s="13" t="s">
        <v>63</v>
      </c>
      <c r="D47" s="14" t="s">
        <v>42</v>
      </c>
      <c r="E47" s="15" t="s">
        <v>66</v>
      </c>
    </row>
    <row r="48" customFormat="false" ht="15" hidden="false" customHeight="false" outlineLevel="0" collapsed="false">
      <c r="B48" s="13" t="s">
        <v>67</v>
      </c>
      <c r="C48" s="13" t="s">
        <v>68</v>
      </c>
      <c r="D48" s="14" t="s">
        <v>42</v>
      </c>
      <c r="E48" s="15" t="s">
        <v>69</v>
      </c>
    </row>
    <row r="49" customFormat="false" ht="15" hidden="false" customHeight="false" outlineLevel="0" collapsed="false">
      <c r="B49" s="17" t="s">
        <v>70</v>
      </c>
      <c r="C49" s="17" t="s">
        <v>41</v>
      </c>
      <c r="D49" s="18" t="s">
        <v>56</v>
      </c>
      <c r="E49" s="19" t="s">
        <v>71</v>
      </c>
    </row>
    <row r="50" customFormat="false" ht="15" hidden="false" customHeight="false" outlineLevel="0" collapsed="false">
      <c r="B50" s="17" t="s">
        <v>72</v>
      </c>
      <c r="C50" s="17" t="s">
        <v>41</v>
      </c>
      <c r="D50" s="18" t="s">
        <v>56</v>
      </c>
      <c r="E50" s="19" t="s">
        <v>73</v>
      </c>
    </row>
    <row r="51" customFormat="false" ht="15" hidden="false" customHeight="false" outlineLevel="0" collapsed="false">
      <c r="B51" s="17" t="s">
        <v>74</v>
      </c>
      <c r="C51" s="17" t="s">
        <v>41</v>
      </c>
      <c r="D51" s="18" t="s">
        <v>56</v>
      </c>
      <c r="E51" s="19" t="s">
        <v>75</v>
      </c>
    </row>
    <row r="52" customFormat="false" ht="15" hidden="false" customHeight="false" outlineLevel="0" collapsed="false">
      <c r="B52" s="13" t="s">
        <v>76</v>
      </c>
      <c r="C52" s="13" t="s">
        <v>51</v>
      </c>
      <c r="D52" s="16" t="s">
        <v>44</v>
      </c>
      <c r="E52" s="15" t="s">
        <v>77</v>
      </c>
    </row>
    <row r="53" customFormat="false" ht="15" hidden="false" customHeight="false" outlineLevel="0" collapsed="false">
      <c r="B53" s="17" t="s">
        <v>78</v>
      </c>
      <c r="C53" s="17" t="s">
        <v>41</v>
      </c>
      <c r="D53" s="18" t="s">
        <v>56</v>
      </c>
      <c r="E53" s="19" t="s">
        <v>79</v>
      </c>
    </row>
    <row r="54" customFormat="false" ht="15" hidden="false" customHeight="false" outlineLevel="0" collapsed="false">
      <c r="B54" s="17" t="s">
        <v>80</v>
      </c>
      <c r="C54" s="17" t="s">
        <v>41</v>
      </c>
      <c r="D54" s="18" t="s">
        <v>56</v>
      </c>
      <c r="E54" s="19" t="s">
        <v>81</v>
      </c>
    </row>
    <row r="55" customFormat="false" ht="15" hidden="false" customHeight="false" outlineLevel="0" collapsed="false">
      <c r="B55" s="17" t="s">
        <v>82</v>
      </c>
      <c r="C55" s="17" t="s">
        <v>41</v>
      </c>
      <c r="D55" s="18" t="s">
        <v>56</v>
      </c>
      <c r="E55" s="19" t="s">
        <v>83</v>
      </c>
    </row>
    <row r="56" customFormat="false" ht="15" hidden="false" customHeight="false" outlineLevel="0" collapsed="false">
      <c r="B56" s="13" t="s">
        <v>84</v>
      </c>
      <c r="C56" s="13" t="s">
        <v>51</v>
      </c>
      <c r="D56" s="16" t="s">
        <v>44</v>
      </c>
      <c r="E56" s="15" t="s">
        <v>85</v>
      </c>
    </row>
    <row r="57" customFormat="false" ht="15" hidden="false" customHeight="false" outlineLevel="0" collapsed="false">
      <c r="B57" s="17" t="s">
        <v>86</v>
      </c>
      <c r="C57" s="17" t="s">
        <v>41</v>
      </c>
      <c r="D57" s="18" t="s">
        <v>56</v>
      </c>
      <c r="E57" s="19" t="s">
        <v>87</v>
      </c>
    </row>
    <row r="58" customFormat="false" ht="15" hidden="false" customHeight="false" outlineLevel="0" collapsed="false">
      <c r="B58" s="17" t="s">
        <v>88</v>
      </c>
      <c r="C58" s="17" t="s">
        <v>41</v>
      </c>
      <c r="D58" s="18" t="s">
        <v>56</v>
      </c>
      <c r="E58" s="19" t="s">
        <v>83</v>
      </c>
    </row>
  </sheetData>
  <mergeCells count="22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7:E17"/>
    <mergeCell ref="C18:E18"/>
    <mergeCell ref="C19:E19"/>
    <mergeCell ref="C20:E20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3" min="12" style="1" width="15"/>
    <col collapsed="false" customWidth="true" hidden="false" outlineLevel="0" max="14" min="14" style="1" width="12"/>
    <col collapsed="false" customWidth="true" hidden="false" outlineLevel="0" max="15" min="15" style="1" width="16"/>
    <col collapsed="false" customWidth="true" hidden="false" outlineLevel="0" max="16" min="16" style="1" width="14"/>
    <col collapsed="false" customWidth="true" hidden="false" outlineLevel="0" max="17" min="17" style="1" width="18"/>
    <col collapsed="false" customWidth="true" hidden="false" outlineLevel="0" max="18" min="18" style="1" width="14"/>
    <col collapsed="false" customWidth="true" hidden="false" outlineLevel="0" max="20" min="19" style="1" width="16"/>
    <col collapsed="false" customWidth="true" hidden="false" outlineLevel="0" max="21" min="21" style="1" width="13"/>
    <col collapsed="false" customWidth="true" hidden="false" outlineLevel="0" max="23" min="22" style="1" width="16"/>
    <col collapsed="false" customWidth="true" hidden="false" outlineLevel="0" max="24" min="24" style="1" width="13"/>
  </cols>
  <sheetData>
    <row r="1" customFormat="false" ht="15" hidden="false" customHeight="false" outlineLevel="0" collapsed="false">
      <c r="A1" s="20" t="s">
        <v>89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customFormat="false" ht="15" hidden="false" customHeight="fals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customFormat="false" ht="15" hidden="false" customHeight="false" outlineLevel="0" collapsed="false">
      <c r="A3" s="3" t="s">
        <v>90</v>
      </c>
      <c r="B3" s="22" t="n">
        <v>46295</v>
      </c>
      <c r="C3" s="23" t="s">
        <v>91</v>
      </c>
      <c r="D3" s="3" t="s">
        <v>92</v>
      </c>
      <c r="E3" s="24"/>
      <c r="G3" s="3" t="s">
        <v>93</v>
      </c>
      <c r="H3" s="11" t="n">
        <v>0</v>
      </c>
      <c r="I3" s="3" t="s">
        <v>94</v>
      </c>
      <c r="J3" s="11" t="s">
        <v>95</v>
      </c>
    </row>
    <row r="4" customFormat="false" ht="15" hidden="false" customHeight="false" outlineLevel="0" collapsed="false">
      <c r="A4" s="25" t="s">
        <v>96</v>
      </c>
    </row>
    <row r="6" customFormat="false" ht="33.75" hidden="false" customHeight="true" outlineLevel="0" collapsed="false">
      <c r="A6" s="26" t="s">
        <v>40</v>
      </c>
      <c r="B6" s="26" t="s">
        <v>43</v>
      </c>
      <c r="C6" s="26" t="s">
        <v>45</v>
      </c>
      <c r="D6" s="26" t="s">
        <v>46</v>
      </c>
      <c r="E6" s="26" t="s">
        <v>47</v>
      </c>
      <c r="F6" s="26" t="s">
        <v>49</v>
      </c>
      <c r="G6" s="26" t="s">
        <v>50</v>
      </c>
      <c r="H6" s="26" t="s">
        <v>53</v>
      </c>
      <c r="I6" s="27" t="s">
        <v>55</v>
      </c>
      <c r="J6" s="27" t="s">
        <v>58</v>
      </c>
      <c r="K6" s="27" t="s">
        <v>60</v>
      </c>
      <c r="L6" s="26" t="s">
        <v>62</v>
      </c>
      <c r="M6" s="26" t="s">
        <v>65</v>
      </c>
      <c r="N6" s="26" t="s">
        <v>67</v>
      </c>
      <c r="O6" s="27" t="s">
        <v>70</v>
      </c>
      <c r="P6" s="27" t="s">
        <v>72</v>
      </c>
      <c r="Q6" s="27" t="s">
        <v>74</v>
      </c>
      <c r="R6" s="26" t="s">
        <v>76</v>
      </c>
      <c r="S6" s="27" t="s">
        <v>78</v>
      </c>
      <c r="T6" s="27" t="s">
        <v>80</v>
      </c>
      <c r="U6" s="27" t="s">
        <v>82</v>
      </c>
      <c r="V6" s="26" t="s">
        <v>84</v>
      </c>
      <c r="W6" s="27" t="s">
        <v>86</v>
      </c>
      <c r="X6" s="27" t="s">
        <v>88</v>
      </c>
    </row>
    <row r="7" customFormat="false" ht="15" hidden="false" customHeight="false" outlineLevel="0" collapsed="false">
      <c r="A7" s="28" t="s">
        <v>97</v>
      </c>
      <c r="B7" s="28" t="s">
        <v>98</v>
      </c>
      <c r="C7" s="28" t="s">
        <v>99</v>
      </c>
      <c r="D7" s="28" t="s">
        <v>100</v>
      </c>
      <c r="E7" s="28" t="s">
        <v>101</v>
      </c>
      <c r="F7" s="28" t="s">
        <v>102</v>
      </c>
      <c r="G7" s="29" t="n">
        <v>23739280</v>
      </c>
      <c r="H7" s="29" t="n">
        <v>0</v>
      </c>
      <c r="I7" s="29" t="n">
        <f aca="false">IF($G7="","",$G7+IF($H7="",0,$H7))</f>
        <v>23739280</v>
      </c>
      <c r="J7" s="29" t="n">
        <f aca="false">IF($I7="","",$I7*$H$3/100)</f>
        <v>0</v>
      </c>
      <c r="K7" s="29" t="n">
        <f aca="false">IF($I7="","",$I7-$J7)</f>
        <v>23739280</v>
      </c>
      <c r="L7" s="30" t="s">
        <v>103</v>
      </c>
      <c r="M7" s="30" t="s">
        <v>103</v>
      </c>
      <c r="N7" s="28" t="n">
        <v>180</v>
      </c>
      <c r="O7" s="31" t="n">
        <f aca="false">IF(OR($K7="",$N7="",$N7=0),"",$K7/$N7)</f>
        <v>131884.888888889</v>
      </c>
      <c r="P7" s="32" t="n">
        <f aca="false">IF(OR($M7="",$B$3=""),"",IF($J$3="mes_completo",(YEAR($B$3)-YEAR($M7))*12+(MONTH($B$3)-MONTH($M7))-IF(DAY($B$3)&lt;DAY($M7),1,0),($B$3-$M7)/365.25*12))</f>
        <v>101.125256673511</v>
      </c>
      <c r="Q7" s="29" t="n">
        <f aca="false">IF(OR($O7="",$P7=""),"",MIN($O7*$P7,$K7))</f>
        <v>13336893.2402464</v>
      </c>
      <c r="R7" s="29" t="n">
        <v>0</v>
      </c>
      <c r="S7" s="29" t="n">
        <f aca="false">IF($Q7="","",$I7-$Q7)</f>
        <v>10402386.7597536</v>
      </c>
      <c r="T7" s="29" t="n">
        <f aca="false">IF($Q7="","",$I7-$Q7-IF($R7="",0,$R7))</f>
        <v>10402386.7597536</v>
      </c>
      <c r="U7" s="33" t="n">
        <f aca="false">IF(OR($Q7="",$K7=0),"",$Q7/$K7)</f>
        <v>0.561806981519507</v>
      </c>
      <c r="V7" s="29" t="n">
        <v>11000000</v>
      </c>
      <c r="W7" s="29" t="n">
        <f aca="false">IF(OR($Q7="",$V7=""),"",$Q7-$V7)</f>
        <v>2336893.24024641</v>
      </c>
      <c r="X7" s="28" t="str">
        <f aca="false">IF($Q7="","",IF($Q7&gt;=$K7,"SI","NO"))</f>
        <v>NO</v>
      </c>
    </row>
    <row r="8" customFormat="false" ht="15" hidden="false" customHeight="false" outlineLevel="0" collapsed="false">
      <c r="A8" s="34"/>
      <c r="B8" s="34"/>
      <c r="C8" s="34"/>
      <c r="D8" s="34"/>
      <c r="E8" s="34"/>
      <c r="F8" s="34"/>
      <c r="G8" s="35"/>
      <c r="H8" s="35"/>
      <c r="I8" s="36" t="str">
        <f aca="false">IF($G8="","",$G8+IF($H8="",0,$H8))</f>
        <v/>
      </c>
      <c r="J8" s="36" t="str">
        <f aca="false">IF($I8="","",$I8*$H$3/100)</f>
        <v/>
      </c>
      <c r="K8" s="36" t="str">
        <f aca="false">IF($I8="","",$I8-$J8)</f>
        <v/>
      </c>
      <c r="L8" s="37"/>
      <c r="M8" s="37"/>
      <c r="N8" s="34"/>
      <c r="O8" s="38" t="str">
        <f aca="false">IF(OR($K8="",$N8="",$N8=0),"",$K8/$N8)</f>
        <v/>
      </c>
      <c r="P8" s="39" t="str">
        <f aca="false">IF(OR($M8="",$B$3=""),"",IF($J$3="mes_completo",(YEAR($B$3)-YEAR($M8))*12+(MONTH($B$3)-MONTH($M8))-IF(DAY($B$3)&lt;DAY($M8),1,0),($B$3-$M8)/365.25*12))</f>
        <v/>
      </c>
      <c r="Q8" s="36" t="str">
        <f aca="false">IF(OR($O8="",$P8=""),"",MIN($O8*$P8,$K8))</f>
        <v/>
      </c>
      <c r="R8" s="35"/>
      <c r="S8" s="36" t="str">
        <f aca="false">IF($Q8="","",$I8-$Q8)</f>
        <v/>
      </c>
      <c r="T8" s="36" t="str">
        <f aca="false">IF($Q8="","",$I8-$Q8-IF($R8="",0,$R8))</f>
        <v/>
      </c>
      <c r="U8" s="40" t="str">
        <f aca="false">IF(OR($Q8="",$K8=0),"",$Q8/$K8)</f>
        <v/>
      </c>
      <c r="V8" s="35"/>
      <c r="W8" s="36" t="str">
        <f aca="false">IF(OR($Q8="",$V8=""),"",$Q8-$V8)</f>
        <v/>
      </c>
      <c r="X8" s="17" t="str">
        <f aca="false">IF($Q8="","",IF($Q8&gt;=$K8,"SI","NO"))</f>
        <v/>
      </c>
    </row>
    <row r="9" customFormat="false" ht="15" hidden="false" customHeight="false" outlineLevel="0" collapsed="false">
      <c r="A9" s="34"/>
      <c r="B9" s="34"/>
      <c r="C9" s="34"/>
      <c r="D9" s="34"/>
      <c r="E9" s="34"/>
      <c r="F9" s="34"/>
      <c r="G9" s="35"/>
      <c r="H9" s="35"/>
      <c r="I9" s="36" t="str">
        <f aca="false">IF($G9="","",$G9+IF($H9="",0,$H9))</f>
        <v/>
      </c>
      <c r="J9" s="36" t="str">
        <f aca="false">IF($I9="","",$I9*$H$3/100)</f>
        <v/>
      </c>
      <c r="K9" s="36" t="str">
        <f aca="false">IF($I9="","",$I9-$J9)</f>
        <v/>
      </c>
      <c r="L9" s="37"/>
      <c r="M9" s="37"/>
      <c r="N9" s="34"/>
      <c r="O9" s="38" t="str">
        <f aca="false">IF(OR($K9="",$N9="",$N9=0),"",$K9/$N9)</f>
        <v/>
      </c>
      <c r="P9" s="39" t="str">
        <f aca="false">IF(OR($M9="",$B$3=""),"",IF($J$3="mes_completo",(YEAR($B$3)-YEAR($M9))*12+(MONTH($B$3)-MONTH($M9))-IF(DAY($B$3)&lt;DAY($M9),1,0),($B$3-$M9)/365.25*12))</f>
        <v/>
      </c>
      <c r="Q9" s="36" t="str">
        <f aca="false">IF(OR($O9="",$P9=""),"",MIN($O9*$P9,$K9))</f>
        <v/>
      </c>
      <c r="R9" s="35"/>
      <c r="S9" s="36" t="str">
        <f aca="false">IF($Q9="","",$I9-$Q9)</f>
        <v/>
      </c>
      <c r="T9" s="36" t="str">
        <f aca="false">IF($Q9="","",$I9-$Q9-IF($R9="",0,$R9))</f>
        <v/>
      </c>
      <c r="U9" s="40" t="str">
        <f aca="false">IF(OR($Q9="",$K9=0),"",$Q9/$K9)</f>
        <v/>
      </c>
      <c r="V9" s="35"/>
      <c r="W9" s="36" t="str">
        <f aca="false">IF(OR($Q9="",$V9=""),"",$Q9-$V9)</f>
        <v/>
      </c>
      <c r="X9" s="17" t="str">
        <f aca="false">IF($Q9="","",IF($Q9&gt;=$K9,"SI","NO"))</f>
        <v/>
      </c>
    </row>
    <row r="10" customFormat="false" ht="15" hidden="false" customHeight="false" outlineLevel="0" collapsed="false">
      <c r="A10" s="34"/>
      <c r="B10" s="34"/>
      <c r="C10" s="34"/>
      <c r="D10" s="34"/>
      <c r="E10" s="34"/>
      <c r="F10" s="34"/>
      <c r="G10" s="35"/>
      <c r="H10" s="35"/>
      <c r="I10" s="36" t="str">
        <f aca="false">IF($G10="","",$G10+IF($H10="",0,$H10))</f>
        <v/>
      </c>
      <c r="J10" s="36" t="str">
        <f aca="false">IF($I10="","",$I10*$H$3/100)</f>
        <v/>
      </c>
      <c r="K10" s="36" t="str">
        <f aca="false">IF($I10="","",$I10-$J10)</f>
        <v/>
      </c>
      <c r="L10" s="37"/>
      <c r="M10" s="37"/>
      <c r="N10" s="34"/>
      <c r="O10" s="38" t="str">
        <f aca="false">IF(OR($K10="",$N10="",$N10=0),"",$K10/$N10)</f>
        <v/>
      </c>
      <c r="P10" s="39" t="str">
        <f aca="false">IF(OR($M10="",$B$3=""),"",IF($J$3="mes_completo",(YEAR($B$3)-YEAR($M10))*12+(MONTH($B$3)-MONTH($M10))-IF(DAY($B$3)&lt;DAY($M10),1,0),($B$3-$M10)/365.25*12))</f>
        <v/>
      </c>
      <c r="Q10" s="36" t="str">
        <f aca="false">IF(OR($O10="",$P10=""),"",MIN($O10*$P10,$K10))</f>
        <v/>
      </c>
      <c r="R10" s="35"/>
      <c r="S10" s="36" t="str">
        <f aca="false">IF($Q10="","",$I10-$Q10)</f>
        <v/>
      </c>
      <c r="T10" s="36" t="str">
        <f aca="false">IF($Q10="","",$I10-$Q10-IF($R10="",0,$R10))</f>
        <v/>
      </c>
      <c r="U10" s="40" t="str">
        <f aca="false">IF(OR($Q10="",$K10=0),"",$Q10/$K10)</f>
        <v/>
      </c>
      <c r="V10" s="35"/>
      <c r="W10" s="36" t="str">
        <f aca="false">IF(OR($Q10="",$V10=""),"",$Q10-$V10)</f>
        <v/>
      </c>
      <c r="X10" s="17" t="str">
        <f aca="false">IF($Q10="","",IF($Q10&gt;=$K10,"SI","NO"))</f>
        <v/>
      </c>
    </row>
    <row r="11" customFormat="false" ht="15" hidden="false" customHeight="false" outlineLevel="0" collapsed="false">
      <c r="A11" s="34"/>
      <c r="B11" s="34"/>
      <c r="C11" s="34"/>
      <c r="D11" s="34"/>
      <c r="E11" s="34"/>
      <c r="F11" s="34"/>
      <c r="G11" s="35"/>
      <c r="H11" s="35"/>
      <c r="I11" s="36" t="str">
        <f aca="false">IF($G11="","",$G11+IF($H11="",0,$H11))</f>
        <v/>
      </c>
      <c r="J11" s="36" t="str">
        <f aca="false">IF($I11="","",$I11*$H$3/100)</f>
        <v/>
      </c>
      <c r="K11" s="36" t="str">
        <f aca="false">IF($I11="","",$I11-$J11)</f>
        <v/>
      </c>
      <c r="L11" s="37"/>
      <c r="M11" s="37"/>
      <c r="N11" s="34"/>
      <c r="O11" s="38" t="str">
        <f aca="false">IF(OR($K11="",$N11="",$N11=0),"",$K11/$N11)</f>
        <v/>
      </c>
      <c r="P11" s="39" t="str">
        <f aca="false">IF(OR($M11="",$B$3=""),"",IF($J$3="mes_completo",(YEAR($B$3)-YEAR($M11))*12+(MONTH($B$3)-MONTH($M11))-IF(DAY($B$3)&lt;DAY($M11),1,0),($B$3-$M11)/365.25*12))</f>
        <v/>
      </c>
      <c r="Q11" s="36" t="str">
        <f aca="false">IF(OR($O11="",$P11=""),"",MIN($O11*$P11,$K11))</f>
        <v/>
      </c>
      <c r="R11" s="35"/>
      <c r="S11" s="36" t="str">
        <f aca="false">IF($Q11="","",$I11-$Q11)</f>
        <v/>
      </c>
      <c r="T11" s="36" t="str">
        <f aca="false">IF($Q11="","",$I11-$Q11-IF($R11="",0,$R11))</f>
        <v/>
      </c>
      <c r="U11" s="40" t="str">
        <f aca="false">IF(OR($Q11="",$K11=0),"",$Q11/$K11)</f>
        <v/>
      </c>
      <c r="V11" s="35"/>
      <c r="W11" s="36" t="str">
        <f aca="false">IF(OR($Q11="",$V11=""),"",$Q11-$V11)</f>
        <v/>
      </c>
      <c r="X11" s="17" t="str">
        <f aca="false">IF($Q11="","",IF($Q11&gt;=$K11,"SI","NO"))</f>
        <v/>
      </c>
    </row>
    <row r="12" customFormat="false" ht="15" hidden="false" customHeight="false" outlineLevel="0" collapsed="false">
      <c r="A12" s="34"/>
      <c r="B12" s="34"/>
      <c r="C12" s="34"/>
      <c r="D12" s="34"/>
      <c r="E12" s="34"/>
      <c r="F12" s="34"/>
      <c r="G12" s="35"/>
      <c r="H12" s="35"/>
      <c r="I12" s="36" t="str">
        <f aca="false">IF($G12="","",$G12+IF($H12="",0,$H12))</f>
        <v/>
      </c>
      <c r="J12" s="36" t="str">
        <f aca="false">IF($I12="","",$I12*$H$3/100)</f>
        <v/>
      </c>
      <c r="K12" s="36" t="str">
        <f aca="false">IF($I12="","",$I12-$J12)</f>
        <v/>
      </c>
      <c r="L12" s="37"/>
      <c r="M12" s="37"/>
      <c r="N12" s="34"/>
      <c r="O12" s="38" t="str">
        <f aca="false">IF(OR($K12="",$N12="",$N12=0),"",$K12/$N12)</f>
        <v/>
      </c>
      <c r="P12" s="39" t="str">
        <f aca="false">IF(OR($M12="",$B$3=""),"",IF($J$3="mes_completo",(YEAR($B$3)-YEAR($M12))*12+(MONTH($B$3)-MONTH($M12))-IF(DAY($B$3)&lt;DAY($M12),1,0),($B$3-$M12)/365.25*12))</f>
        <v/>
      </c>
      <c r="Q12" s="36" t="str">
        <f aca="false">IF(OR($O12="",$P12=""),"",MIN($O12*$P12,$K12))</f>
        <v/>
      </c>
      <c r="R12" s="35"/>
      <c r="S12" s="36" t="str">
        <f aca="false">IF($Q12="","",$I12-$Q12)</f>
        <v/>
      </c>
      <c r="T12" s="36" t="str">
        <f aca="false">IF($Q12="","",$I12-$Q12-IF($R12="",0,$R12))</f>
        <v/>
      </c>
      <c r="U12" s="40" t="str">
        <f aca="false">IF(OR($Q12="",$K12=0),"",$Q12/$K12)</f>
        <v/>
      </c>
      <c r="V12" s="35"/>
      <c r="W12" s="36" t="str">
        <f aca="false">IF(OR($Q12="",$V12=""),"",$Q12-$V12)</f>
        <v/>
      </c>
      <c r="X12" s="17" t="str">
        <f aca="false">IF($Q12="","",IF($Q12&gt;=$K12,"SI","NO"))</f>
        <v/>
      </c>
    </row>
    <row r="13" customFormat="false" ht="15" hidden="false" customHeight="false" outlineLevel="0" collapsed="false">
      <c r="A13" s="34"/>
      <c r="B13" s="34"/>
      <c r="C13" s="34"/>
      <c r="D13" s="34"/>
      <c r="E13" s="34"/>
      <c r="F13" s="34"/>
      <c r="G13" s="35"/>
      <c r="H13" s="35"/>
      <c r="I13" s="36" t="str">
        <f aca="false">IF($G13="","",$G13+IF($H13="",0,$H13))</f>
        <v/>
      </c>
      <c r="J13" s="36" t="str">
        <f aca="false">IF($I13="","",$I13*$H$3/100)</f>
        <v/>
      </c>
      <c r="K13" s="36" t="str">
        <f aca="false">IF($I13="","",$I13-$J13)</f>
        <v/>
      </c>
      <c r="L13" s="37"/>
      <c r="M13" s="37"/>
      <c r="N13" s="34"/>
      <c r="O13" s="38" t="str">
        <f aca="false">IF(OR($K13="",$N13="",$N13=0),"",$K13/$N13)</f>
        <v/>
      </c>
      <c r="P13" s="39" t="str">
        <f aca="false">IF(OR($M13="",$B$3=""),"",IF($J$3="mes_completo",(YEAR($B$3)-YEAR($M13))*12+(MONTH($B$3)-MONTH($M13))-IF(DAY($B$3)&lt;DAY($M13),1,0),($B$3-$M13)/365.25*12))</f>
        <v/>
      </c>
      <c r="Q13" s="36" t="str">
        <f aca="false">IF(OR($O13="",$P13=""),"",MIN($O13*$P13,$K13))</f>
        <v/>
      </c>
      <c r="R13" s="35"/>
      <c r="S13" s="36" t="str">
        <f aca="false">IF($Q13="","",$I13-$Q13)</f>
        <v/>
      </c>
      <c r="T13" s="36" t="str">
        <f aca="false">IF($Q13="","",$I13-$Q13-IF($R13="",0,$R13))</f>
        <v/>
      </c>
      <c r="U13" s="40" t="str">
        <f aca="false">IF(OR($Q13="",$K13=0),"",$Q13/$K13)</f>
        <v/>
      </c>
      <c r="V13" s="35"/>
      <c r="W13" s="36" t="str">
        <f aca="false">IF(OR($Q13="",$V13=""),"",$Q13-$V13)</f>
        <v/>
      </c>
      <c r="X13" s="17" t="str">
        <f aca="false">IF($Q13="","",IF($Q13&gt;=$K13,"SI","NO"))</f>
        <v/>
      </c>
    </row>
    <row r="14" customFormat="false" ht="15" hidden="false" customHeight="false" outlineLevel="0" collapsed="false">
      <c r="A14" s="34"/>
      <c r="B14" s="34"/>
      <c r="C14" s="34"/>
      <c r="D14" s="34"/>
      <c r="E14" s="34"/>
      <c r="F14" s="34"/>
      <c r="G14" s="35"/>
      <c r="H14" s="35"/>
      <c r="I14" s="36" t="str">
        <f aca="false">IF($G14="","",$G14+IF($H14="",0,$H14))</f>
        <v/>
      </c>
      <c r="J14" s="36" t="str">
        <f aca="false">IF($I14="","",$I14*$H$3/100)</f>
        <v/>
      </c>
      <c r="K14" s="36" t="str">
        <f aca="false">IF($I14="","",$I14-$J14)</f>
        <v/>
      </c>
      <c r="L14" s="37"/>
      <c r="M14" s="37"/>
      <c r="N14" s="34"/>
      <c r="O14" s="38" t="str">
        <f aca="false">IF(OR($K14="",$N14="",$N14=0),"",$K14/$N14)</f>
        <v/>
      </c>
      <c r="P14" s="39" t="str">
        <f aca="false">IF(OR($M14="",$B$3=""),"",IF($J$3="mes_completo",(YEAR($B$3)-YEAR($M14))*12+(MONTH($B$3)-MONTH($M14))-IF(DAY($B$3)&lt;DAY($M14),1,0),($B$3-$M14)/365.25*12))</f>
        <v/>
      </c>
      <c r="Q14" s="36" t="str">
        <f aca="false">IF(OR($O14="",$P14=""),"",MIN($O14*$P14,$K14))</f>
        <v/>
      </c>
      <c r="R14" s="35"/>
      <c r="S14" s="36" t="str">
        <f aca="false">IF($Q14="","",$I14-$Q14)</f>
        <v/>
      </c>
      <c r="T14" s="36" t="str">
        <f aca="false">IF($Q14="","",$I14-$Q14-IF($R14="",0,$R14))</f>
        <v/>
      </c>
      <c r="U14" s="40" t="str">
        <f aca="false">IF(OR($Q14="",$K14=0),"",$Q14/$K14)</f>
        <v/>
      </c>
      <c r="V14" s="35"/>
      <c r="W14" s="36" t="str">
        <f aca="false">IF(OR($Q14="",$V14=""),"",$Q14-$V14)</f>
        <v/>
      </c>
      <c r="X14" s="17" t="str">
        <f aca="false">IF($Q14="","",IF($Q14&gt;=$K14,"SI","NO"))</f>
        <v/>
      </c>
    </row>
    <row r="15" customFormat="false" ht="15" hidden="false" customHeight="false" outlineLevel="0" collapsed="false">
      <c r="A15" s="34"/>
      <c r="B15" s="34"/>
      <c r="C15" s="34"/>
      <c r="D15" s="34"/>
      <c r="E15" s="34"/>
      <c r="F15" s="34"/>
      <c r="G15" s="35"/>
      <c r="H15" s="35"/>
      <c r="I15" s="36" t="str">
        <f aca="false">IF($G15="","",$G15+IF($H15="",0,$H15))</f>
        <v/>
      </c>
      <c r="J15" s="36" t="str">
        <f aca="false">IF($I15="","",$I15*$H$3/100)</f>
        <v/>
      </c>
      <c r="K15" s="36" t="str">
        <f aca="false">IF($I15="","",$I15-$J15)</f>
        <v/>
      </c>
      <c r="L15" s="37"/>
      <c r="M15" s="37"/>
      <c r="N15" s="34"/>
      <c r="O15" s="38" t="str">
        <f aca="false">IF(OR($K15="",$N15="",$N15=0),"",$K15/$N15)</f>
        <v/>
      </c>
      <c r="P15" s="39" t="str">
        <f aca="false">IF(OR($M15="",$B$3=""),"",IF($J$3="mes_completo",(YEAR($B$3)-YEAR($M15))*12+(MONTH($B$3)-MONTH($M15))-IF(DAY($B$3)&lt;DAY($M15),1,0),($B$3-$M15)/365.25*12))</f>
        <v/>
      </c>
      <c r="Q15" s="36" t="str">
        <f aca="false">IF(OR($O15="",$P15=""),"",MIN($O15*$P15,$K15))</f>
        <v/>
      </c>
      <c r="R15" s="35"/>
      <c r="S15" s="36" t="str">
        <f aca="false">IF($Q15="","",$I15-$Q15)</f>
        <v/>
      </c>
      <c r="T15" s="36" t="str">
        <f aca="false">IF($Q15="","",$I15-$Q15-IF($R15="",0,$R15))</f>
        <v/>
      </c>
      <c r="U15" s="40" t="str">
        <f aca="false">IF(OR($Q15="",$K15=0),"",$Q15/$K15)</f>
        <v/>
      </c>
      <c r="V15" s="35"/>
      <c r="W15" s="36" t="str">
        <f aca="false">IF(OR($Q15="",$V15=""),"",$Q15-$V15)</f>
        <v/>
      </c>
      <c r="X15" s="17" t="str">
        <f aca="false">IF($Q15="","",IF($Q15&gt;=$K15,"SI","NO"))</f>
        <v/>
      </c>
    </row>
    <row r="16" customFormat="false" ht="15" hidden="false" customHeight="false" outlineLevel="0" collapsed="false">
      <c r="A16" s="34"/>
      <c r="B16" s="34"/>
      <c r="C16" s="34"/>
      <c r="D16" s="34"/>
      <c r="E16" s="34"/>
      <c r="F16" s="34"/>
      <c r="G16" s="35"/>
      <c r="H16" s="35"/>
      <c r="I16" s="36" t="str">
        <f aca="false">IF($G16="","",$G16+IF($H16="",0,$H16))</f>
        <v/>
      </c>
      <c r="J16" s="36" t="str">
        <f aca="false">IF($I16="","",$I16*$H$3/100)</f>
        <v/>
      </c>
      <c r="K16" s="36" t="str">
        <f aca="false">IF($I16="","",$I16-$J16)</f>
        <v/>
      </c>
      <c r="L16" s="37"/>
      <c r="M16" s="37"/>
      <c r="N16" s="34"/>
      <c r="O16" s="38" t="str">
        <f aca="false">IF(OR($K16="",$N16="",$N16=0),"",$K16/$N16)</f>
        <v/>
      </c>
      <c r="P16" s="39" t="str">
        <f aca="false">IF(OR($M16="",$B$3=""),"",IF($J$3="mes_completo",(YEAR($B$3)-YEAR($M16))*12+(MONTH($B$3)-MONTH($M16))-IF(DAY($B$3)&lt;DAY($M16),1,0),($B$3-$M16)/365.25*12))</f>
        <v/>
      </c>
      <c r="Q16" s="36" t="str">
        <f aca="false">IF(OR($O16="",$P16=""),"",MIN($O16*$P16,$K16))</f>
        <v/>
      </c>
      <c r="R16" s="35"/>
      <c r="S16" s="36" t="str">
        <f aca="false">IF($Q16="","",$I16-$Q16)</f>
        <v/>
      </c>
      <c r="T16" s="36" t="str">
        <f aca="false">IF($Q16="","",$I16-$Q16-IF($R16="",0,$R16))</f>
        <v/>
      </c>
      <c r="U16" s="40" t="str">
        <f aca="false">IF(OR($Q16="",$K16=0),"",$Q16/$K16)</f>
        <v/>
      </c>
      <c r="V16" s="35"/>
      <c r="W16" s="36" t="str">
        <f aca="false">IF(OR($Q16="",$V16=""),"",$Q16-$V16)</f>
        <v/>
      </c>
      <c r="X16" s="17" t="str">
        <f aca="false">IF($Q16="","",IF($Q16&gt;=$K16,"SI","NO"))</f>
        <v/>
      </c>
    </row>
    <row r="17" customFormat="false" ht="15" hidden="false" customHeight="false" outlineLevel="0" collapsed="false">
      <c r="A17" s="34"/>
      <c r="B17" s="34"/>
      <c r="C17" s="34"/>
      <c r="D17" s="34"/>
      <c r="E17" s="34"/>
      <c r="F17" s="34"/>
      <c r="G17" s="35"/>
      <c r="H17" s="35"/>
      <c r="I17" s="36" t="str">
        <f aca="false">IF($G17="","",$G17+IF($H17="",0,$H17))</f>
        <v/>
      </c>
      <c r="J17" s="36" t="str">
        <f aca="false">IF($I17="","",$I17*$H$3/100)</f>
        <v/>
      </c>
      <c r="K17" s="36" t="str">
        <f aca="false">IF($I17="","",$I17-$J17)</f>
        <v/>
      </c>
      <c r="L17" s="37"/>
      <c r="M17" s="37"/>
      <c r="N17" s="34"/>
      <c r="O17" s="38" t="str">
        <f aca="false">IF(OR($K17="",$N17="",$N17=0),"",$K17/$N17)</f>
        <v/>
      </c>
      <c r="P17" s="39" t="str">
        <f aca="false">IF(OR($M17="",$B$3=""),"",IF($J$3="mes_completo",(YEAR($B$3)-YEAR($M17))*12+(MONTH($B$3)-MONTH($M17))-IF(DAY($B$3)&lt;DAY($M17),1,0),($B$3-$M17)/365.25*12))</f>
        <v/>
      </c>
      <c r="Q17" s="36" t="str">
        <f aca="false">IF(OR($O17="",$P17=""),"",MIN($O17*$P17,$K17))</f>
        <v/>
      </c>
      <c r="R17" s="35"/>
      <c r="S17" s="36" t="str">
        <f aca="false">IF($Q17="","",$I17-$Q17)</f>
        <v/>
      </c>
      <c r="T17" s="36" t="str">
        <f aca="false">IF($Q17="","",$I17-$Q17-IF($R17="",0,$R17))</f>
        <v/>
      </c>
      <c r="U17" s="40" t="str">
        <f aca="false">IF(OR($Q17="",$K17=0),"",$Q17/$K17)</f>
        <v/>
      </c>
      <c r="V17" s="35"/>
      <c r="W17" s="36" t="str">
        <f aca="false">IF(OR($Q17="",$V17=""),"",$Q17-$V17)</f>
        <v/>
      </c>
      <c r="X17" s="17" t="str">
        <f aca="false">IF($Q17="","",IF($Q17&gt;=$K17,"SI","NO"))</f>
        <v/>
      </c>
    </row>
    <row r="18" customFormat="false" ht="15" hidden="false" customHeight="false" outlineLevel="0" collapsed="false">
      <c r="A18" s="34"/>
      <c r="B18" s="34"/>
      <c r="C18" s="34"/>
      <c r="D18" s="34"/>
      <c r="E18" s="34"/>
      <c r="F18" s="34"/>
      <c r="G18" s="35"/>
      <c r="H18" s="35"/>
      <c r="I18" s="36" t="str">
        <f aca="false">IF($G18="","",$G18+IF($H18="",0,$H18))</f>
        <v/>
      </c>
      <c r="J18" s="36" t="str">
        <f aca="false">IF($I18="","",$I18*$H$3/100)</f>
        <v/>
      </c>
      <c r="K18" s="36" t="str">
        <f aca="false">IF($I18="","",$I18-$J18)</f>
        <v/>
      </c>
      <c r="L18" s="37"/>
      <c r="M18" s="37"/>
      <c r="N18" s="34"/>
      <c r="O18" s="38" t="str">
        <f aca="false">IF(OR($K18="",$N18="",$N18=0),"",$K18/$N18)</f>
        <v/>
      </c>
      <c r="P18" s="39" t="str">
        <f aca="false">IF(OR($M18="",$B$3=""),"",IF($J$3="mes_completo",(YEAR($B$3)-YEAR($M18))*12+(MONTH($B$3)-MONTH($M18))-IF(DAY($B$3)&lt;DAY($M18),1,0),($B$3-$M18)/365.25*12))</f>
        <v/>
      </c>
      <c r="Q18" s="36" t="str">
        <f aca="false">IF(OR($O18="",$P18=""),"",MIN($O18*$P18,$K18))</f>
        <v/>
      </c>
      <c r="R18" s="35"/>
      <c r="S18" s="36" t="str">
        <f aca="false">IF($Q18="","",$I18-$Q18)</f>
        <v/>
      </c>
      <c r="T18" s="36" t="str">
        <f aca="false">IF($Q18="","",$I18-$Q18-IF($R18="",0,$R18))</f>
        <v/>
      </c>
      <c r="U18" s="40" t="str">
        <f aca="false">IF(OR($Q18="",$K18=0),"",$Q18/$K18)</f>
        <v/>
      </c>
      <c r="V18" s="35"/>
      <c r="W18" s="36" t="str">
        <f aca="false">IF(OR($Q18="",$V18=""),"",$Q18-$V18)</f>
        <v/>
      </c>
      <c r="X18" s="17" t="str">
        <f aca="false">IF($Q18="","",IF($Q18&gt;=$K18,"SI","NO"))</f>
        <v/>
      </c>
    </row>
    <row r="19" customFormat="false" ht="15" hidden="false" customHeight="false" outlineLevel="0" collapsed="false">
      <c r="A19" s="34"/>
      <c r="B19" s="34"/>
      <c r="C19" s="34"/>
      <c r="D19" s="34"/>
      <c r="E19" s="34"/>
      <c r="F19" s="34"/>
      <c r="G19" s="35"/>
      <c r="H19" s="35"/>
      <c r="I19" s="36" t="str">
        <f aca="false">IF($G19="","",$G19+IF($H19="",0,$H19))</f>
        <v/>
      </c>
      <c r="J19" s="36" t="str">
        <f aca="false">IF($I19="","",$I19*$H$3/100)</f>
        <v/>
      </c>
      <c r="K19" s="36" t="str">
        <f aca="false">IF($I19="","",$I19-$J19)</f>
        <v/>
      </c>
      <c r="L19" s="37"/>
      <c r="M19" s="37"/>
      <c r="N19" s="34"/>
      <c r="O19" s="38" t="str">
        <f aca="false">IF(OR($K19="",$N19="",$N19=0),"",$K19/$N19)</f>
        <v/>
      </c>
      <c r="P19" s="39" t="str">
        <f aca="false">IF(OR($M19="",$B$3=""),"",IF($J$3="mes_completo",(YEAR($B$3)-YEAR($M19))*12+(MONTH($B$3)-MONTH($M19))-IF(DAY($B$3)&lt;DAY($M19),1,0),($B$3-$M19)/365.25*12))</f>
        <v/>
      </c>
      <c r="Q19" s="36" t="str">
        <f aca="false">IF(OR($O19="",$P19=""),"",MIN($O19*$P19,$K19))</f>
        <v/>
      </c>
      <c r="R19" s="35"/>
      <c r="S19" s="36" t="str">
        <f aca="false">IF($Q19="","",$I19-$Q19)</f>
        <v/>
      </c>
      <c r="T19" s="36" t="str">
        <f aca="false">IF($Q19="","",$I19-$Q19-IF($R19="",0,$R19))</f>
        <v/>
      </c>
      <c r="U19" s="40" t="str">
        <f aca="false">IF(OR($Q19="",$K19=0),"",$Q19/$K19)</f>
        <v/>
      </c>
      <c r="V19" s="35"/>
      <c r="W19" s="36" t="str">
        <f aca="false">IF(OR($Q19="",$V19=""),"",$Q19-$V19)</f>
        <v/>
      </c>
      <c r="X19" s="17" t="str">
        <f aca="false">IF($Q19="","",IF($Q19&gt;=$K19,"SI","NO"))</f>
        <v/>
      </c>
    </row>
    <row r="20" customFormat="false" ht="15" hidden="false" customHeight="false" outlineLevel="0" collapsed="false">
      <c r="A20" s="34"/>
      <c r="B20" s="34"/>
      <c r="C20" s="34"/>
      <c r="D20" s="34"/>
      <c r="E20" s="34"/>
      <c r="F20" s="34"/>
      <c r="G20" s="35"/>
      <c r="H20" s="35"/>
      <c r="I20" s="36" t="str">
        <f aca="false">IF($G20="","",$G20+IF($H20="",0,$H20))</f>
        <v/>
      </c>
      <c r="J20" s="36" t="str">
        <f aca="false">IF($I20="","",$I20*$H$3/100)</f>
        <v/>
      </c>
      <c r="K20" s="36" t="str">
        <f aca="false">IF($I20="","",$I20-$J20)</f>
        <v/>
      </c>
      <c r="L20" s="37"/>
      <c r="M20" s="37"/>
      <c r="N20" s="34"/>
      <c r="O20" s="38" t="str">
        <f aca="false">IF(OR($K20="",$N20="",$N20=0),"",$K20/$N20)</f>
        <v/>
      </c>
      <c r="P20" s="39" t="str">
        <f aca="false">IF(OR($M20="",$B$3=""),"",IF($J$3="mes_completo",(YEAR($B$3)-YEAR($M20))*12+(MONTH($B$3)-MONTH($M20))-IF(DAY($B$3)&lt;DAY($M20),1,0),($B$3-$M20)/365.25*12))</f>
        <v/>
      </c>
      <c r="Q20" s="36" t="str">
        <f aca="false">IF(OR($O20="",$P20=""),"",MIN($O20*$P20,$K20))</f>
        <v/>
      </c>
      <c r="R20" s="35"/>
      <c r="S20" s="36" t="str">
        <f aca="false">IF($Q20="","",$I20-$Q20)</f>
        <v/>
      </c>
      <c r="T20" s="36" t="str">
        <f aca="false">IF($Q20="","",$I20-$Q20-IF($R20="",0,$R20))</f>
        <v/>
      </c>
      <c r="U20" s="40" t="str">
        <f aca="false">IF(OR($Q20="",$K20=0),"",$Q20/$K20)</f>
        <v/>
      </c>
      <c r="V20" s="35"/>
      <c r="W20" s="36" t="str">
        <f aca="false">IF(OR($Q20="",$V20=""),"",$Q20-$V20)</f>
        <v/>
      </c>
      <c r="X20" s="17" t="str">
        <f aca="false">IF($Q20="","",IF($Q20&gt;=$K20,"SI","NO"))</f>
        <v/>
      </c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34"/>
      <c r="G21" s="35"/>
      <c r="H21" s="35"/>
      <c r="I21" s="36" t="str">
        <f aca="false">IF($G21="","",$G21+IF($H21="",0,$H21))</f>
        <v/>
      </c>
      <c r="J21" s="36" t="str">
        <f aca="false">IF($I21="","",$I21*$H$3/100)</f>
        <v/>
      </c>
      <c r="K21" s="36" t="str">
        <f aca="false">IF($I21="","",$I21-$J21)</f>
        <v/>
      </c>
      <c r="L21" s="37"/>
      <c r="M21" s="37"/>
      <c r="N21" s="34"/>
      <c r="O21" s="38" t="str">
        <f aca="false">IF(OR($K21="",$N21="",$N21=0),"",$K21/$N21)</f>
        <v/>
      </c>
      <c r="P21" s="39" t="str">
        <f aca="false">IF(OR($M21="",$B$3=""),"",IF($J$3="mes_completo",(YEAR($B$3)-YEAR($M21))*12+(MONTH($B$3)-MONTH($M21))-IF(DAY($B$3)&lt;DAY($M21),1,0),($B$3-$M21)/365.25*12))</f>
        <v/>
      </c>
      <c r="Q21" s="36" t="str">
        <f aca="false">IF(OR($O21="",$P21=""),"",MIN($O21*$P21,$K21))</f>
        <v/>
      </c>
      <c r="R21" s="35"/>
      <c r="S21" s="36" t="str">
        <f aca="false">IF($Q21="","",$I21-$Q21)</f>
        <v/>
      </c>
      <c r="T21" s="36" t="str">
        <f aca="false">IF($Q21="","",$I21-$Q21-IF($R21="",0,$R21))</f>
        <v/>
      </c>
      <c r="U21" s="40" t="str">
        <f aca="false">IF(OR($Q21="",$K21=0),"",$Q21/$K21)</f>
        <v/>
      </c>
      <c r="V21" s="35"/>
      <c r="W21" s="36" t="str">
        <f aca="false">IF(OR($Q21="",$V21=""),"",$Q21-$V21)</f>
        <v/>
      </c>
      <c r="X21" s="17" t="str">
        <f aca="false">IF($Q21="","",IF($Q21&gt;=$K21,"SI","NO"))</f>
        <v/>
      </c>
    </row>
    <row r="22" customFormat="false" ht="15" hidden="false" customHeight="false" outlineLevel="0" collapsed="false">
      <c r="A22" s="34"/>
      <c r="B22" s="34"/>
      <c r="C22" s="34"/>
      <c r="D22" s="34"/>
      <c r="E22" s="34"/>
      <c r="F22" s="34"/>
      <c r="G22" s="35"/>
      <c r="H22" s="35"/>
      <c r="I22" s="36" t="str">
        <f aca="false">IF($G22="","",$G22+IF($H22="",0,$H22))</f>
        <v/>
      </c>
      <c r="J22" s="36" t="str">
        <f aca="false">IF($I22="","",$I22*$H$3/100)</f>
        <v/>
      </c>
      <c r="K22" s="36" t="str">
        <f aca="false">IF($I22="","",$I22-$J22)</f>
        <v/>
      </c>
      <c r="L22" s="37"/>
      <c r="M22" s="37"/>
      <c r="N22" s="34"/>
      <c r="O22" s="38" t="str">
        <f aca="false">IF(OR($K22="",$N22="",$N22=0),"",$K22/$N22)</f>
        <v/>
      </c>
      <c r="P22" s="39" t="str">
        <f aca="false">IF(OR($M22="",$B$3=""),"",IF($J$3="mes_completo",(YEAR($B$3)-YEAR($M22))*12+(MONTH($B$3)-MONTH($M22))-IF(DAY($B$3)&lt;DAY($M22),1,0),($B$3-$M22)/365.25*12))</f>
        <v/>
      </c>
      <c r="Q22" s="36" t="str">
        <f aca="false">IF(OR($O22="",$P22=""),"",MIN($O22*$P22,$K22))</f>
        <v/>
      </c>
      <c r="R22" s="35"/>
      <c r="S22" s="36" t="str">
        <f aca="false">IF($Q22="","",$I22-$Q22)</f>
        <v/>
      </c>
      <c r="T22" s="36" t="str">
        <f aca="false">IF($Q22="","",$I22-$Q22-IF($R22="",0,$R22))</f>
        <v/>
      </c>
      <c r="U22" s="40" t="str">
        <f aca="false">IF(OR($Q22="",$K22=0),"",$Q22/$K22)</f>
        <v/>
      </c>
      <c r="V22" s="35"/>
      <c r="W22" s="36" t="str">
        <f aca="false">IF(OR($Q22="",$V22=""),"",$Q22-$V22)</f>
        <v/>
      </c>
      <c r="X22" s="17" t="str">
        <f aca="false">IF($Q22="","",IF($Q22&gt;=$K22,"SI","NO"))</f>
        <v/>
      </c>
    </row>
    <row r="23" customFormat="false" ht="15" hidden="false" customHeight="false" outlineLevel="0" collapsed="false">
      <c r="A23" s="34"/>
      <c r="B23" s="34"/>
      <c r="C23" s="34"/>
      <c r="D23" s="34"/>
      <c r="E23" s="34"/>
      <c r="F23" s="34"/>
      <c r="G23" s="35"/>
      <c r="H23" s="35"/>
      <c r="I23" s="36" t="str">
        <f aca="false">IF($G23="","",$G23+IF($H23="",0,$H23))</f>
        <v/>
      </c>
      <c r="J23" s="36" t="str">
        <f aca="false">IF($I23="","",$I23*$H$3/100)</f>
        <v/>
      </c>
      <c r="K23" s="36" t="str">
        <f aca="false">IF($I23="","",$I23-$J23)</f>
        <v/>
      </c>
      <c r="L23" s="37"/>
      <c r="M23" s="37"/>
      <c r="N23" s="34"/>
      <c r="O23" s="38" t="str">
        <f aca="false">IF(OR($K23="",$N23="",$N23=0),"",$K23/$N23)</f>
        <v/>
      </c>
      <c r="P23" s="39" t="str">
        <f aca="false">IF(OR($M23="",$B$3=""),"",IF($J$3="mes_completo",(YEAR($B$3)-YEAR($M23))*12+(MONTH($B$3)-MONTH($M23))-IF(DAY($B$3)&lt;DAY($M23),1,0),($B$3-$M23)/365.25*12))</f>
        <v/>
      </c>
      <c r="Q23" s="36" t="str">
        <f aca="false">IF(OR($O23="",$P23=""),"",MIN($O23*$P23,$K23))</f>
        <v/>
      </c>
      <c r="R23" s="35"/>
      <c r="S23" s="36" t="str">
        <f aca="false">IF($Q23="","",$I23-$Q23)</f>
        <v/>
      </c>
      <c r="T23" s="36" t="str">
        <f aca="false">IF($Q23="","",$I23-$Q23-IF($R23="",0,$R23))</f>
        <v/>
      </c>
      <c r="U23" s="40" t="str">
        <f aca="false">IF(OR($Q23="",$K23=0),"",$Q23/$K23)</f>
        <v/>
      </c>
      <c r="V23" s="35"/>
      <c r="W23" s="36" t="str">
        <f aca="false">IF(OR($Q23="",$V23=""),"",$Q23-$V23)</f>
        <v/>
      </c>
      <c r="X23" s="17" t="str">
        <f aca="false">IF($Q23="","",IF($Q23&gt;=$K23,"SI","NO"))</f>
        <v/>
      </c>
    </row>
    <row r="24" customFormat="false" ht="15" hidden="false" customHeight="false" outlineLevel="0" collapsed="false">
      <c r="A24" s="34"/>
      <c r="B24" s="34"/>
      <c r="C24" s="34"/>
      <c r="D24" s="34"/>
      <c r="E24" s="34"/>
      <c r="F24" s="34"/>
      <c r="G24" s="35"/>
      <c r="H24" s="35"/>
      <c r="I24" s="36" t="str">
        <f aca="false">IF($G24="","",$G24+IF($H24="",0,$H24))</f>
        <v/>
      </c>
      <c r="J24" s="36" t="str">
        <f aca="false">IF($I24="","",$I24*$H$3/100)</f>
        <v/>
      </c>
      <c r="K24" s="36" t="str">
        <f aca="false">IF($I24="","",$I24-$J24)</f>
        <v/>
      </c>
      <c r="L24" s="37"/>
      <c r="M24" s="37"/>
      <c r="N24" s="34"/>
      <c r="O24" s="38" t="str">
        <f aca="false">IF(OR($K24="",$N24="",$N24=0),"",$K24/$N24)</f>
        <v/>
      </c>
      <c r="P24" s="39" t="str">
        <f aca="false">IF(OR($M24="",$B$3=""),"",IF($J$3="mes_completo",(YEAR($B$3)-YEAR($M24))*12+(MONTH($B$3)-MONTH($M24))-IF(DAY($B$3)&lt;DAY($M24),1,0),($B$3-$M24)/365.25*12))</f>
        <v/>
      </c>
      <c r="Q24" s="36" t="str">
        <f aca="false">IF(OR($O24="",$P24=""),"",MIN($O24*$P24,$K24))</f>
        <v/>
      </c>
      <c r="R24" s="35"/>
      <c r="S24" s="36" t="str">
        <f aca="false">IF($Q24="","",$I24-$Q24)</f>
        <v/>
      </c>
      <c r="T24" s="36" t="str">
        <f aca="false">IF($Q24="","",$I24-$Q24-IF($R24="",0,$R24))</f>
        <v/>
      </c>
      <c r="U24" s="40" t="str">
        <f aca="false">IF(OR($Q24="",$K24=0),"",$Q24/$K24)</f>
        <v/>
      </c>
      <c r="V24" s="35"/>
      <c r="W24" s="36" t="str">
        <f aca="false">IF(OR($Q24="",$V24=""),"",$Q24-$V24)</f>
        <v/>
      </c>
      <c r="X24" s="17" t="str">
        <f aca="false">IF($Q24="","",IF($Q24&gt;=$K24,"SI","NO"))</f>
        <v/>
      </c>
    </row>
    <row r="25" customFormat="false" ht="15" hidden="false" customHeight="false" outlineLevel="0" collapsed="false">
      <c r="A25" s="34"/>
      <c r="B25" s="34"/>
      <c r="C25" s="34"/>
      <c r="D25" s="34"/>
      <c r="E25" s="34"/>
      <c r="F25" s="34"/>
      <c r="G25" s="35"/>
      <c r="H25" s="35"/>
      <c r="I25" s="36" t="str">
        <f aca="false">IF($G25="","",$G25+IF($H25="",0,$H25))</f>
        <v/>
      </c>
      <c r="J25" s="36" t="str">
        <f aca="false">IF($I25="","",$I25*$H$3/100)</f>
        <v/>
      </c>
      <c r="K25" s="36" t="str">
        <f aca="false">IF($I25="","",$I25-$J25)</f>
        <v/>
      </c>
      <c r="L25" s="37"/>
      <c r="M25" s="37"/>
      <c r="N25" s="34"/>
      <c r="O25" s="38" t="str">
        <f aca="false">IF(OR($K25="",$N25="",$N25=0),"",$K25/$N25)</f>
        <v/>
      </c>
      <c r="P25" s="39" t="str">
        <f aca="false">IF(OR($M25="",$B$3=""),"",IF($J$3="mes_completo",(YEAR($B$3)-YEAR($M25))*12+(MONTH($B$3)-MONTH($M25))-IF(DAY($B$3)&lt;DAY($M25),1,0),($B$3-$M25)/365.25*12))</f>
        <v/>
      </c>
      <c r="Q25" s="36" t="str">
        <f aca="false">IF(OR($O25="",$P25=""),"",MIN($O25*$P25,$K25))</f>
        <v/>
      </c>
      <c r="R25" s="35"/>
      <c r="S25" s="36" t="str">
        <f aca="false">IF($Q25="","",$I25-$Q25)</f>
        <v/>
      </c>
      <c r="T25" s="36" t="str">
        <f aca="false">IF($Q25="","",$I25-$Q25-IF($R25="",0,$R25))</f>
        <v/>
      </c>
      <c r="U25" s="40" t="str">
        <f aca="false">IF(OR($Q25="",$K25=0),"",$Q25/$K25)</f>
        <v/>
      </c>
      <c r="V25" s="35"/>
      <c r="W25" s="36" t="str">
        <f aca="false">IF(OR($Q25="",$V25=""),"",$Q25-$V25)</f>
        <v/>
      </c>
      <c r="X25" s="17" t="str">
        <f aca="false">IF($Q25="","",IF($Q25&gt;=$K25,"SI","NO"))</f>
        <v/>
      </c>
    </row>
    <row r="26" customFormat="false" ht="15" hidden="false" customHeight="false" outlineLevel="0" collapsed="false">
      <c r="A26" s="34"/>
      <c r="B26" s="34"/>
      <c r="C26" s="34"/>
      <c r="D26" s="34"/>
      <c r="E26" s="34"/>
      <c r="F26" s="34"/>
      <c r="G26" s="35"/>
      <c r="H26" s="35"/>
      <c r="I26" s="36" t="str">
        <f aca="false">IF($G26="","",$G26+IF($H26="",0,$H26))</f>
        <v/>
      </c>
      <c r="J26" s="36" t="str">
        <f aca="false">IF($I26="","",$I26*$H$3/100)</f>
        <v/>
      </c>
      <c r="K26" s="36" t="str">
        <f aca="false">IF($I26="","",$I26-$J26)</f>
        <v/>
      </c>
      <c r="L26" s="37"/>
      <c r="M26" s="37"/>
      <c r="N26" s="34"/>
      <c r="O26" s="38" t="str">
        <f aca="false">IF(OR($K26="",$N26="",$N26=0),"",$K26/$N26)</f>
        <v/>
      </c>
      <c r="P26" s="39" t="str">
        <f aca="false">IF(OR($M26="",$B$3=""),"",IF($J$3="mes_completo",(YEAR($B$3)-YEAR($M26))*12+(MONTH($B$3)-MONTH($M26))-IF(DAY($B$3)&lt;DAY($M26),1,0),($B$3-$M26)/365.25*12))</f>
        <v/>
      </c>
      <c r="Q26" s="36" t="str">
        <f aca="false">IF(OR($O26="",$P26=""),"",MIN($O26*$P26,$K26))</f>
        <v/>
      </c>
      <c r="R26" s="35"/>
      <c r="S26" s="36" t="str">
        <f aca="false">IF($Q26="","",$I26-$Q26)</f>
        <v/>
      </c>
      <c r="T26" s="36" t="str">
        <f aca="false">IF($Q26="","",$I26-$Q26-IF($R26="",0,$R26))</f>
        <v/>
      </c>
      <c r="U26" s="40" t="str">
        <f aca="false">IF(OR($Q26="",$K26=0),"",$Q26/$K26)</f>
        <v/>
      </c>
      <c r="V26" s="35"/>
      <c r="W26" s="36" t="str">
        <f aca="false">IF(OR($Q26="",$V26=""),"",$Q26-$V26)</f>
        <v/>
      </c>
      <c r="X26" s="17" t="str">
        <f aca="false">IF($Q26="","",IF($Q26&gt;=$K26,"SI","NO"))</f>
        <v/>
      </c>
    </row>
    <row r="27" customFormat="false" ht="15" hidden="false" customHeight="false" outlineLevel="0" collapsed="false">
      <c r="A27" s="34"/>
      <c r="B27" s="34"/>
      <c r="C27" s="34"/>
      <c r="D27" s="34"/>
      <c r="E27" s="34"/>
      <c r="F27" s="34"/>
      <c r="G27" s="35"/>
      <c r="H27" s="35"/>
      <c r="I27" s="36" t="str">
        <f aca="false">IF($G27="","",$G27+IF($H27="",0,$H27))</f>
        <v/>
      </c>
      <c r="J27" s="36" t="str">
        <f aca="false">IF($I27="","",$I27*$H$3/100)</f>
        <v/>
      </c>
      <c r="K27" s="36" t="str">
        <f aca="false">IF($I27="","",$I27-$J27)</f>
        <v/>
      </c>
      <c r="L27" s="37"/>
      <c r="M27" s="37"/>
      <c r="N27" s="34"/>
      <c r="O27" s="38" t="str">
        <f aca="false">IF(OR($K27="",$N27="",$N27=0),"",$K27/$N27)</f>
        <v/>
      </c>
      <c r="P27" s="39" t="str">
        <f aca="false">IF(OR($M27="",$B$3=""),"",IF($J$3="mes_completo",(YEAR($B$3)-YEAR($M27))*12+(MONTH($B$3)-MONTH($M27))-IF(DAY($B$3)&lt;DAY($M27),1,0),($B$3-$M27)/365.25*12))</f>
        <v/>
      </c>
      <c r="Q27" s="36" t="str">
        <f aca="false">IF(OR($O27="",$P27=""),"",MIN($O27*$P27,$K27))</f>
        <v/>
      </c>
      <c r="R27" s="35"/>
      <c r="S27" s="36" t="str">
        <f aca="false">IF($Q27="","",$I27-$Q27)</f>
        <v/>
      </c>
      <c r="T27" s="36" t="str">
        <f aca="false">IF($Q27="","",$I27-$Q27-IF($R27="",0,$R27))</f>
        <v/>
      </c>
      <c r="U27" s="40" t="str">
        <f aca="false">IF(OR($Q27="",$K27=0),"",$Q27/$K27)</f>
        <v/>
      </c>
      <c r="V27" s="35"/>
      <c r="W27" s="36" t="str">
        <f aca="false">IF(OR($Q27="",$V27=""),"",$Q27-$V27)</f>
        <v/>
      </c>
      <c r="X27" s="17" t="str">
        <f aca="false">IF($Q27="","",IF($Q27&gt;=$K27,"SI","NO"))</f>
        <v/>
      </c>
    </row>
    <row r="28" customFormat="false" ht="15" hidden="false" customHeight="false" outlineLevel="0" collapsed="false">
      <c r="A28" s="34"/>
      <c r="B28" s="34"/>
      <c r="C28" s="34"/>
      <c r="D28" s="34"/>
      <c r="E28" s="34"/>
      <c r="F28" s="34"/>
      <c r="G28" s="35"/>
      <c r="H28" s="35"/>
      <c r="I28" s="36" t="str">
        <f aca="false">IF($G28="","",$G28+IF($H28="",0,$H28))</f>
        <v/>
      </c>
      <c r="J28" s="36" t="str">
        <f aca="false">IF($I28="","",$I28*$H$3/100)</f>
        <v/>
      </c>
      <c r="K28" s="36" t="str">
        <f aca="false">IF($I28="","",$I28-$J28)</f>
        <v/>
      </c>
      <c r="L28" s="37"/>
      <c r="M28" s="37"/>
      <c r="N28" s="34"/>
      <c r="O28" s="38" t="str">
        <f aca="false">IF(OR($K28="",$N28="",$N28=0),"",$K28/$N28)</f>
        <v/>
      </c>
      <c r="P28" s="39" t="str">
        <f aca="false">IF(OR($M28="",$B$3=""),"",IF($J$3="mes_completo",(YEAR($B$3)-YEAR($M28))*12+(MONTH($B$3)-MONTH($M28))-IF(DAY($B$3)&lt;DAY($M28),1,0),($B$3-$M28)/365.25*12))</f>
        <v/>
      </c>
      <c r="Q28" s="36" t="str">
        <f aca="false">IF(OR($O28="",$P28=""),"",MIN($O28*$P28,$K28))</f>
        <v/>
      </c>
      <c r="R28" s="35"/>
      <c r="S28" s="36" t="str">
        <f aca="false">IF($Q28="","",$I28-$Q28)</f>
        <v/>
      </c>
      <c r="T28" s="36" t="str">
        <f aca="false">IF($Q28="","",$I28-$Q28-IF($R28="",0,$R28))</f>
        <v/>
      </c>
      <c r="U28" s="40" t="str">
        <f aca="false">IF(OR($Q28="",$K28=0),"",$Q28/$K28)</f>
        <v/>
      </c>
      <c r="V28" s="35"/>
      <c r="W28" s="36" t="str">
        <f aca="false">IF(OR($Q28="",$V28=""),"",$Q28-$V28)</f>
        <v/>
      </c>
      <c r="X28" s="17" t="str">
        <f aca="false">IF($Q28="","",IF($Q28&gt;=$K28,"SI","NO"))</f>
        <v/>
      </c>
    </row>
    <row r="29" customFormat="false" ht="15" hidden="false" customHeight="false" outlineLevel="0" collapsed="false">
      <c r="A29" s="34"/>
      <c r="B29" s="34"/>
      <c r="C29" s="34"/>
      <c r="D29" s="34"/>
      <c r="E29" s="34"/>
      <c r="F29" s="34"/>
      <c r="G29" s="35"/>
      <c r="H29" s="35"/>
      <c r="I29" s="36" t="str">
        <f aca="false">IF($G29="","",$G29+IF($H29="",0,$H29))</f>
        <v/>
      </c>
      <c r="J29" s="36" t="str">
        <f aca="false">IF($I29="","",$I29*$H$3/100)</f>
        <v/>
      </c>
      <c r="K29" s="36" t="str">
        <f aca="false">IF($I29="","",$I29-$J29)</f>
        <v/>
      </c>
      <c r="L29" s="37"/>
      <c r="M29" s="37"/>
      <c r="N29" s="34"/>
      <c r="O29" s="38" t="str">
        <f aca="false">IF(OR($K29="",$N29="",$N29=0),"",$K29/$N29)</f>
        <v/>
      </c>
      <c r="P29" s="39" t="str">
        <f aca="false">IF(OR($M29="",$B$3=""),"",IF($J$3="mes_completo",(YEAR($B$3)-YEAR($M29))*12+(MONTH($B$3)-MONTH($M29))-IF(DAY($B$3)&lt;DAY($M29),1,0),($B$3-$M29)/365.25*12))</f>
        <v/>
      </c>
      <c r="Q29" s="36" t="str">
        <f aca="false">IF(OR($O29="",$P29=""),"",MIN($O29*$P29,$K29))</f>
        <v/>
      </c>
      <c r="R29" s="35"/>
      <c r="S29" s="36" t="str">
        <f aca="false">IF($Q29="","",$I29-$Q29)</f>
        <v/>
      </c>
      <c r="T29" s="36" t="str">
        <f aca="false">IF($Q29="","",$I29-$Q29-IF($R29="",0,$R29))</f>
        <v/>
      </c>
      <c r="U29" s="40" t="str">
        <f aca="false">IF(OR($Q29="",$K29=0),"",$Q29/$K29)</f>
        <v/>
      </c>
      <c r="V29" s="35"/>
      <c r="W29" s="36" t="str">
        <f aca="false">IF(OR($Q29="",$V29=""),"",$Q29-$V29)</f>
        <v/>
      </c>
      <c r="X29" s="17" t="str">
        <f aca="false">IF($Q29="","",IF($Q29&gt;=$K29,"SI","NO"))</f>
        <v/>
      </c>
    </row>
    <row r="30" customFormat="false" ht="15" hidden="false" customHeight="false" outlineLevel="0" collapsed="false">
      <c r="A30" s="34"/>
      <c r="B30" s="34"/>
      <c r="C30" s="34"/>
      <c r="D30" s="34"/>
      <c r="E30" s="34"/>
      <c r="F30" s="34"/>
      <c r="G30" s="35"/>
      <c r="H30" s="35"/>
      <c r="I30" s="36" t="str">
        <f aca="false">IF($G30="","",$G30+IF($H30="",0,$H30))</f>
        <v/>
      </c>
      <c r="J30" s="36" t="str">
        <f aca="false">IF($I30="","",$I30*$H$3/100)</f>
        <v/>
      </c>
      <c r="K30" s="36" t="str">
        <f aca="false">IF($I30="","",$I30-$J30)</f>
        <v/>
      </c>
      <c r="L30" s="37"/>
      <c r="M30" s="37"/>
      <c r="N30" s="34"/>
      <c r="O30" s="38" t="str">
        <f aca="false">IF(OR($K30="",$N30="",$N30=0),"",$K30/$N30)</f>
        <v/>
      </c>
      <c r="P30" s="39" t="str">
        <f aca="false">IF(OR($M30="",$B$3=""),"",IF($J$3="mes_completo",(YEAR($B$3)-YEAR($M30))*12+(MONTH($B$3)-MONTH($M30))-IF(DAY($B$3)&lt;DAY($M30),1,0),($B$3-$M30)/365.25*12))</f>
        <v/>
      </c>
      <c r="Q30" s="36" t="str">
        <f aca="false">IF(OR($O30="",$P30=""),"",MIN($O30*$P30,$K30))</f>
        <v/>
      </c>
      <c r="R30" s="35"/>
      <c r="S30" s="36" t="str">
        <f aca="false">IF($Q30="","",$I30-$Q30)</f>
        <v/>
      </c>
      <c r="T30" s="36" t="str">
        <f aca="false">IF($Q30="","",$I30-$Q30-IF($R30="",0,$R30))</f>
        <v/>
      </c>
      <c r="U30" s="40" t="str">
        <f aca="false">IF(OR($Q30="",$K30=0),"",$Q30/$K30)</f>
        <v/>
      </c>
      <c r="V30" s="35"/>
      <c r="W30" s="36" t="str">
        <f aca="false">IF(OR($Q30="",$V30=""),"",$Q30-$V30)</f>
        <v/>
      </c>
      <c r="X30" s="17" t="str">
        <f aca="false">IF($Q30="","",IF($Q30&gt;=$K30,"SI","NO"))</f>
        <v/>
      </c>
    </row>
    <row r="31" customFormat="false" ht="15" hidden="false" customHeight="false" outlineLevel="0" collapsed="false">
      <c r="A31" s="34"/>
      <c r="B31" s="34"/>
      <c r="C31" s="34"/>
      <c r="D31" s="34"/>
      <c r="E31" s="34"/>
      <c r="F31" s="34"/>
      <c r="G31" s="35"/>
      <c r="H31" s="35"/>
      <c r="I31" s="36" t="str">
        <f aca="false">IF($G31="","",$G31+IF($H31="",0,$H31))</f>
        <v/>
      </c>
      <c r="J31" s="36" t="str">
        <f aca="false">IF($I31="","",$I31*$H$3/100)</f>
        <v/>
      </c>
      <c r="K31" s="36" t="str">
        <f aca="false">IF($I31="","",$I31-$J31)</f>
        <v/>
      </c>
      <c r="L31" s="37"/>
      <c r="M31" s="37"/>
      <c r="N31" s="34"/>
      <c r="O31" s="38" t="str">
        <f aca="false">IF(OR($K31="",$N31="",$N31=0),"",$K31/$N31)</f>
        <v/>
      </c>
      <c r="P31" s="39" t="str">
        <f aca="false">IF(OR($M31="",$B$3=""),"",IF($J$3="mes_completo",(YEAR($B$3)-YEAR($M31))*12+(MONTH($B$3)-MONTH($M31))-IF(DAY($B$3)&lt;DAY($M31),1,0),($B$3-$M31)/365.25*12))</f>
        <v/>
      </c>
      <c r="Q31" s="36" t="str">
        <f aca="false">IF(OR($O31="",$P31=""),"",MIN($O31*$P31,$K31))</f>
        <v/>
      </c>
      <c r="R31" s="35"/>
      <c r="S31" s="36" t="str">
        <f aca="false">IF($Q31="","",$I31-$Q31)</f>
        <v/>
      </c>
      <c r="T31" s="36" t="str">
        <f aca="false">IF($Q31="","",$I31-$Q31-IF($R31="",0,$R31))</f>
        <v/>
      </c>
      <c r="U31" s="40" t="str">
        <f aca="false">IF(OR($Q31="",$K31=0),"",$Q31/$K31)</f>
        <v/>
      </c>
      <c r="V31" s="35"/>
      <c r="W31" s="36" t="str">
        <f aca="false">IF(OR($Q31="",$V31=""),"",$Q31-$V31)</f>
        <v/>
      </c>
      <c r="X31" s="17" t="str">
        <f aca="false">IF($Q31="","",IF($Q31&gt;=$K31,"SI","NO"))</f>
        <v/>
      </c>
    </row>
    <row r="32" customFormat="false" ht="15" hidden="false" customHeight="false" outlineLevel="0" collapsed="false">
      <c r="A32" s="34"/>
      <c r="B32" s="34"/>
      <c r="C32" s="34"/>
      <c r="D32" s="34"/>
      <c r="E32" s="34"/>
      <c r="F32" s="34"/>
      <c r="G32" s="35"/>
      <c r="H32" s="35"/>
      <c r="I32" s="36" t="str">
        <f aca="false">IF($G32="","",$G32+IF($H32="",0,$H32))</f>
        <v/>
      </c>
      <c r="J32" s="36" t="str">
        <f aca="false">IF($I32="","",$I32*$H$3/100)</f>
        <v/>
      </c>
      <c r="K32" s="36" t="str">
        <f aca="false">IF($I32="","",$I32-$J32)</f>
        <v/>
      </c>
      <c r="L32" s="37"/>
      <c r="M32" s="37"/>
      <c r="N32" s="34"/>
      <c r="O32" s="38" t="str">
        <f aca="false">IF(OR($K32="",$N32="",$N32=0),"",$K32/$N32)</f>
        <v/>
      </c>
      <c r="P32" s="39" t="str">
        <f aca="false">IF(OR($M32="",$B$3=""),"",IF($J$3="mes_completo",(YEAR($B$3)-YEAR($M32))*12+(MONTH($B$3)-MONTH($M32))-IF(DAY($B$3)&lt;DAY($M32),1,0),($B$3-$M32)/365.25*12))</f>
        <v/>
      </c>
      <c r="Q32" s="36" t="str">
        <f aca="false">IF(OR($O32="",$P32=""),"",MIN($O32*$P32,$K32))</f>
        <v/>
      </c>
      <c r="R32" s="35"/>
      <c r="S32" s="36" t="str">
        <f aca="false">IF($Q32="","",$I32-$Q32)</f>
        <v/>
      </c>
      <c r="T32" s="36" t="str">
        <f aca="false">IF($Q32="","",$I32-$Q32-IF($R32="",0,$R32))</f>
        <v/>
      </c>
      <c r="U32" s="40" t="str">
        <f aca="false">IF(OR($Q32="",$K32=0),"",$Q32/$K32)</f>
        <v/>
      </c>
      <c r="V32" s="35"/>
      <c r="W32" s="36" t="str">
        <f aca="false">IF(OR($Q32="",$V32=""),"",$Q32-$V32)</f>
        <v/>
      </c>
      <c r="X32" s="17" t="str">
        <f aca="false">IF($Q32="","",IF($Q32&gt;=$K32,"SI","NO"))</f>
        <v/>
      </c>
    </row>
    <row r="33" customFormat="false" ht="15" hidden="false" customHeight="false" outlineLevel="0" collapsed="false">
      <c r="A33" s="34"/>
      <c r="B33" s="34"/>
      <c r="C33" s="34"/>
      <c r="D33" s="34"/>
      <c r="E33" s="34"/>
      <c r="F33" s="34"/>
      <c r="G33" s="35"/>
      <c r="H33" s="35"/>
      <c r="I33" s="36" t="str">
        <f aca="false">IF($G33="","",$G33+IF($H33="",0,$H33))</f>
        <v/>
      </c>
      <c r="J33" s="36" t="str">
        <f aca="false">IF($I33="","",$I33*$H$3/100)</f>
        <v/>
      </c>
      <c r="K33" s="36" t="str">
        <f aca="false">IF($I33="","",$I33-$J33)</f>
        <v/>
      </c>
      <c r="L33" s="37"/>
      <c r="M33" s="37"/>
      <c r="N33" s="34"/>
      <c r="O33" s="38" t="str">
        <f aca="false">IF(OR($K33="",$N33="",$N33=0),"",$K33/$N33)</f>
        <v/>
      </c>
      <c r="P33" s="39" t="str">
        <f aca="false">IF(OR($M33="",$B$3=""),"",IF($J$3="mes_completo",(YEAR($B$3)-YEAR($M33))*12+(MONTH($B$3)-MONTH($M33))-IF(DAY($B$3)&lt;DAY($M33),1,0),($B$3-$M33)/365.25*12))</f>
        <v/>
      </c>
      <c r="Q33" s="36" t="str">
        <f aca="false">IF(OR($O33="",$P33=""),"",MIN($O33*$P33,$K33))</f>
        <v/>
      </c>
      <c r="R33" s="35"/>
      <c r="S33" s="36" t="str">
        <f aca="false">IF($Q33="","",$I33-$Q33)</f>
        <v/>
      </c>
      <c r="T33" s="36" t="str">
        <f aca="false">IF($Q33="","",$I33-$Q33-IF($R33="",0,$R33))</f>
        <v/>
      </c>
      <c r="U33" s="40" t="str">
        <f aca="false">IF(OR($Q33="",$K33=0),"",$Q33/$K33)</f>
        <v/>
      </c>
      <c r="V33" s="35"/>
      <c r="W33" s="36" t="str">
        <f aca="false">IF(OR($Q33="",$V33=""),"",$Q33-$V33)</f>
        <v/>
      </c>
      <c r="X33" s="17" t="str">
        <f aca="false">IF($Q33="","",IF($Q33&gt;=$K33,"SI","NO"))</f>
        <v/>
      </c>
    </row>
    <row r="34" customFormat="false" ht="15" hidden="false" customHeight="false" outlineLevel="0" collapsed="false">
      <c r="A34" s="34"/>
      <c r="B34" s="34"/>
      <c r="C34" s="34"/>
      <c r="D34" s="34"/>
      <c r="E34" s="34"/>
      <c r="F34" s="34"/>
      <c r="G34" s="35"/>
      <c r="H34" s="35"/>
      <c r="I34" s="36" t="str">
        <f aca="false">IF($G34="","",$G34+IF($H34="",0,$H34))</f>
        <v/>
      </c>
      <c r="J34" s="36" t="str">
        <f aca="false">IF($I34="","",$I34*$H$3/100)</f>
        <v/>
      </c>
      <c r="K34" s="36" t="str">
        <f aca="false">IF($I34="","",$I34-$J34)</f>
        <v/>
      </c>
      <c r="L34" s="37"/>
      <c r="M34" s="37"/>
      <c r="N34" s="34"/>
      <c r="O34" s="38" t="str">
        <f aca="false">IF(OR($K34="",$N34="",$N34=0),"",$K34/$N34)</f>
        <v/>
      </c>
      <c r="P34" s="39" t="str">
        <f aca="false">IF(OR($M34="",$B$3=""),"",IF($J$3="mes_completo",(YEAR($B$3)-YEAR($M34))*12+(MONTH($B$3)-MONTH($M34))-IF(DAY($B$3)&lt;DAY($M34),1,0),($B$3-$M34)/365.25*12))</f>
        <v/>
      </c>
      <c r="Q34" s="36" t="str">
        <f aca="false">IF(OR($O34="",$P34=""),"",MIN($O34*$P34,$K34))</f>
        <v/>
      </c>
      <c r="R34" s="35"/>
      <c r="S34" s="36" t="str">
        <f aca="false">IF($Q34="","",$I34-$Q34)</f>
        <v/>
      </c>
      <c r="T34" s="36" t="str">
        <f aca="false">IF($Q34="","",$I34-$Q34-IF($R34="",0,$R34))</f>
        <v/>
      </c>
      <c r="U34" s="40" t="str">
        <f aca="false">IF(OR($Q34="",$K34=0),"",$Q34/$K34)</f>
        <v/>
      </c>
      <c r="V34" s="35"/>
      <c r="W34" s="36" t="str">
        <f aca="false">IF(OR($Q34="",$V34=""),"",$Q34-$V34)</f>
        <v/>
      </c>
      <c r="X34" s="17" t="str">
        <f aca="false">IF($Q34="","",IF($Q34&gt;=$K34,"SI","NO"))</f>
        <v/>
      </c>
    </row>
    <row r="35" customFormat="false" ht="15" hidden="false" customHeight="false" outlineLevel="0" collapsed="false">
      <c r="A35" s="34"/>
      <c r="B35" s="34"/>
      <c r="C35" s="34"/>
      <c r="D35" s="34"/>
      <c r="E35" s="34"/>
      <c r="F35" s="34"/>
      <c r="G35" s="35"/>
      <c r="H35" s="35"/>
      <c r="I35" s="36" t="str">
        <f aca="false">IF($G35="","",$G35+IF($H35="",0,$H35))</f>
        <v/>
      </c>
      <c r="J35" s="36" t="str">
        <f aca="false">IF($I35="","",$I35*$H$3/100)</f>
        <v/>
      </c>
      <c r="K35" s="36" t="str">
        <f aca="false">IF($I35="","",$I35-$J35)</f>
        <v/>
      </c>
      <c r="L35" s="37"/>
      <c r="M35" s="37"/>
      <c r="N35" s="34"/>
      <c r="O35" s="38" t="str">
        <f aca="false">IF(OR($K35="",$N35="",$N35=0),"",$K35/$N35)</f>
        <v/>
      </c>
      <c r="P35" s="39" t="str">
        <f aca="false">IF(OR($M35="",$B$3=""),"",IF($J$3="mes_completo",(YEAR($B$3)-YEAR($M35))*12+(MONTH($B$3)-MONTH($M35))-IF(DAY($B$3)&lt;DAY($M35),1,0),($B$3-$M35)/365.25*12))</f>
        <v/>
      </c>
      <c r="Q35" s="36" t="str">
        <f aca="false">IF(OR($O35="",$P35=""),"",MIN($O35*$P35,$K35))</f>
        <v/>
      </c>
      <c r="R35" s="35"/>
      <c r="S35" s="36" t="str">
        <f aca="false">IF($Q35="","",$I35-$Q35)</f>
        <v/>
      </c>
      <c r="T35" s="36" t="str">
        <f aca="false">IF($Q35="","",$I35-$Q35-IF($R35="",0,$R35))</f>
        <v/>
      </c>
      <c r="U35" s="40" t="str">
        <f aca="false">IF(OR($Q35="",$K35=0),"",$Q35/$K35)</f>
        <v/>
      </c>
      <c r="V35" s="35"/>
      <c r="W35" s="36" t="str">
        <f aca="false">IF(OR($Q35="",$V35=""),"",$Q35-$V35)</f>
        <v/>
      </c>
      <c r="X35" s="17" t="str">
        <f aca="false">IF($Q35="","",IF($Q35&gt;=$K35,"SI","NO"))</f>
        <v/>
      </c>
    </row>
    <row r="36" customFormat="false" ht="15" hidden="false" customHeight="false" outlineLevel="0" collapsed="false">
      <c r="A36" s="34"/>
      <c r="B36" s="34"/>
      <c r="C36" s="34"/>
      <c r="D36" s="34"/>
      <c r="E36" s="34"/>
      <c r="F36" s="34"/>
      <c r="G36" s="35"/>
      <c r="H36" s="35"/>
      <c r="I36" s="36" t="str">
        <f aca="false">IF($G36="","",$G36+IF($H36="",0,$H36))</f>
        <v/>
      </c>
      <c r="J36" s="36" t="str">
        <f aca="false">IF($I36="","",$I36*$H$3/100)</f>
        <v/>
      </c>
      <c r="K36" s="36" t="str">
        <f aca="false">IF($I36="","",$I36-$J36)</f>
        <v/>
      </c>
      <c r="L36" s="37"/>
      <c r="M36" s="37"/>
      <c r="N36" s="34"/>
      <c r="O36" s="38" t="str">
        <f aca="false">IF(OR($K36="",$N36="",$N36=0),"",$K36/$N36)</f>
        <v/>
      </c>
      <c r="P36" s="39" t="str">
        <f aca="false">IF(OR($M36="",$B$3=""),"",IF($J$3="mes_completo",(YEAR($B$3)-YEAR($M36))*12+(MONTH($B$3)-MONTH($M36))-IF(DAY($B$3)&lt;DAY($M36),1,0),($B$3-$M36)/365.25*12))</f>
        <v/>
      </c>
      <c r="Q36" s="36" t="str">
        <f aca="false">IF(OR($O36="",$P36=""),"",MIN($O36*$P36,$K36))</f>
        <v/>
      </c>
      <c r="R36" s="35"/>
      <c r="S36" s="36" t="str">
        <f aca="false">IF($Q36="","",$I36-$Q36)</f>
        <v/>
      </c>
      <c r="T36" s="36" t="str">
        <f aca="false">IF($Q36="","",$I36-$Q36-IF($R36="",0,$R36))</f>
        <v/>
      </c>
      <c r="U36" s="40" t="str">
        <f aca="false">IF(OR($Q36="",$K36=0),"",$Q36/$K36)</f>
        <v/>
      </c>
      <c r="V36" s="35"/>
      <c r="W36" s="36" t="str">
        <f aca="false">IF(OR($Q36="",$V36=""),"",$Q36-$V36)</f>
        <v/>
      </c>
      <c r="X36" s="17" t="str">
        <f aca="false">IF($Q36="","",IF($Q36&gt;=$K36,"SI","NO"))</f>
        <v/>
      </c>
    </row>
    <row r="37" customFormat="false" ht="15" hidden="false" customHeight="false" outlineLevel="0" collapsed="false">
      <c r="A37" s="34"/>
      <c r="B37" s="34"/>
      <c r="C37" s="34"/>
      <c r="D37" s="34"/>
      <c r="E37" s="34"/>
      <c r="F37" s="34"/>
      <c r="G37" s="35"/>
      <c r="H37" s="35"/>
      <c r="I37" s="36" t="str">
        <f aca="false">IF($G37="","",$G37+IF($H37="",0,$H37))</f>
        <v/>
      </c>
      <c r="J37" s="36" t="str">
        <f aca="false">IF($I37="","",$I37*$H$3/100)</f>
        <v/>
      </c>
      <c r="K37" s="36" t="str">
        <f aca="false">IF($I37="","",$I37-$J37)</f>
        <v/>
      </c>
      <c r="L37" s="37"/>
      <c r="M37" s="37"/>
      <c r="N37" s="34"/>
      <c r="O37" s="38" t="str">
        <f aca="false">IF(OR($K37="",$N37="",$N37=0),"",$K37/$N37)</f>
        <v/>
      </c>
      <c r="P37" s="39" t="str">
        <f aca="false">IF(OR($M37="",$B$3=""),"",IF($J$3="mes_completo",(YEAR($B$3)-YEAR($M37))*12+(MONTH($B$3)-MONTH($M37))-IF(DAY($B$3)&lt;DAY($M37),1,0),($B$3-$M37)/365.25*12))</f>
        <v/>
      </c>
      <c r="Q37" s="36" t="str">
        <f aca="false">IF(OR($O37="",$P37=""),"",MIN($O37*$P37,$K37))</f>
        <v/>
      </c>
      <c r="R37" s="35"/>
      <c r="S37" s="36" t="str">
        <f aca="false">IF($Q37="","",$I37-$Q37)</f>
        <v/>
      </c>
      <c r="T37" s="36" t="str">
        <f aca="false">IF($Q37="","",$I37-$Q37-IF($R37="",0,$R37))</f>
        <v/>
      </c>
      <c r="U37" s="40" t="str">
        <f aca="false">IF(OR($Q37="",$K37=0),"",$Q37/$K37)</f>
        <v/>
      </c>
      <c r="V37" s="35"/>
      <c r="W37" s="36" t="str">
        <f aca="false">IF(OR($Q37="",$V37=""),"",$Q37-$V37)</f>
        <v/>
      </c>
      <c r="X37" s="17" t="str">
        <f aca="false">IF($Q37="","",IF($Q37&gt;=$K37,"SI","NO"))</f>
        <v/>
      </c>
    </row>
    <row r="38" customFormat="false" ht="15" hidden="false" customHeight="false" outlineLevel="0" collapsed="false">
      <c r="A38" s="34"/>
      <c r="B38" s="34"/>
      <c r="C38" s="34"/>
      <c r="D38" s="34"/>
      <c r="E38" s="34"/>
      <c r="F38" s="34"/>
      <c r="G38" s="35"/>
      <c r="H38" s="35"/>
      <c r="I38" s="36" t="str">
        <f aca="false">IF($G38="","",$G38+IF($H38="",0,$H38))</f>
        <v/>
      </c>
      <c r="J38" s="36" t="str">
        <f aca="false">IF($I38="","",$I38*$H$3/100)</f>
        <v/>
      </c>
      <c r="K38" s="36" t="str">
        <f aca="false">IF($I38="","",$I38-$J38)</f>
        <v/>
      </c>
      <c r="L38" s="37"/>
      <c r="M38" s="37"/>
      <c r="N38" s="34"/>
      <c r="O38" s="38" t="str">
        <f aca="false">IF(OR($K38="",$N38="",$N38=0),"",$K38/$N38)</f>
        <v/>
      </c>
      <c r="P38" s="39" t="str">
        <f aca="false">IF(OR($M38="",$B$3=""),"",IF($J$3="mes_completo",(YEAR($B$3)-YEAR($M38))*12+(MONTH($B$3)-MONTH($M38))-IF(DAY($B$3)&lt;DAY($M38),1,0),($B$3-$M38)/365.25*12))</f>
        <v/>
      </c>
      <c r="Q38" s="36" t="str">
        <f aca="false">IF(OR($O38="",$P38=""),"",MIN($O38*$P38,$K38))</f>
        <v/>
      </c>
      <c r="R38" s="35"/>
      <c r="S38" s="36" t="str">
        <f aca="false">IF($Q38="","",$I38-$Q38)</f>
        <v/>
      </c>
      <c r="T38" s="36" t="str">
        <f aca="false">IF($Q38="","",$I38-$Q38-IF($R38="",0,$R38))</f>
        <v/>
      </c>
      <c r="U38" s="40" t="str">
        <f aca="false">IF(OR($Q38="",$K38=0),"",$Q38/$K38)</f>
        <v/>
      </c>
      <c r="V38" s="35"/>
      <c r="W38" s="36" t="str">
        <f aca="false">IF(OR($Q38="",$V38=""),"",$Q38-$V38)</f>
        <v/>
      </c>
      <c r="X38" s="17" t="str">
        <f aca="false">IF($Q38="","",IF($Q38&gt;=$K38,"SI","NO"))</f>
        <v/>
      </c>
    </row>
    <row r="39" customFormat="false" ht="15" hidden="false" customHeight="false" outlineLevel="0" collapsed="false">
      <c r="A39" s="34"/>
      <c r="B39" s="34"/>
      <c r="C39" s="34"/>
      <c r="D39" s="34"/>
      <c r="E39" s="34"/>
      <c r="F39" s="34"/>
      <c r="G39" s="35"/>
      <c r="H39" s="35"/>
      <c r="I39" s="36" t="str">
        <f aca="false">IF($G39="","",$G39+IF($H39="",0,$H39))</f>
        <v/>
      </c>
      <c r="J39" s="36" t="str">
        <f aca="false">IF($I39="","",$I39*$H$3/100)</f>
        <v/>
      </c>
      <c r="K39" s="36" t="str">
        <f aca="false">IF($I39="","",$I39-$J39)</f>
        <v/>
      </c>
      <c r="L39" s="37"/>
      <c r="M39" s="37"/>
      <c r="N39" s="34"/>
      <c r="O39" s="38" t="str">
        <f aca="false">IF(OR($K39="",$N39="",$N39=0),"",$K39/$N39)</f>
        <v/>
      </c>
      <c r="P39" s="39" t="str">
        <f aca="false">IF(OR($M39="",$B$3=""),"",IF($J$3="mes_completo",(YEAR($B$3)-YEAR($M39))*12+(MONTH($B$3)-MONTH($M39))-IF(DAY($B$3)&lt;DAY($M39),1,0),($B$3-$M39)/365.25*12))</f>
        <v/>
      </c>
      <c r="Q39" s="36" t="str">
        <f aca="false">IF(OR($O39="",$P39=""),"",MIN($O39*$P39,$K39))</f>
        <v/>
      </c>
      <c r="R39" s="35"/>
      <c r="S39" s="36" t="str">
        <f aca="false">IF($Q39="","",$I39-$Q39)</f>
        <v/>
      </c>
      <c r="T39" s="36" t="str">
        <f aca="false">IF($Q39="","",$I39-$Q39-IF($R39="",0,$R39))</f>
        <v/>
      </c>
      <c r="U39" s="40" t="str">
        <f aca="false">IF(OR($Q39="",$K39=0),"",$Q39/$K39)</f>
        <v/>
      </c>
      <c r="V39" s="35"/>
      <c r="W39" s="36" t="str">
        <f aca="false">IF(OR($Q39="",$V39=""),"",$Q39-$V39)</f>
        <v/>
      </c>
      <c r="X39" s="17" t="str">
        <f aca="false">IF($Q39="","",IF($Q39&gt;=$K39,"SI","NO"))</f>
        <v/>
      </c>
    </row>
    <row r="40" customFormat="false" ht="15" hidden="false" customHeight="false" outlineLevel="0" collapsed="false">
      <c r="A40" s="34"/>
      <c r="B40" s="34"/>
      <c r="C40" s="34"/>
      <c r="D40" s="34"/>
      <c r="E40" s="34"/>
      <c r="F40" s="34"/>
      <c r="G40" s="35"/>
      <c r="H40" s="35"/>
      <c r="I40" s="36" t="str">
        <f aca="false">IF($G40="","",$G40+IF($H40="",0,$H40))</f>
        <v/>
      </c>
      <c r="J40" s="36" t="str">
        <f aca="false">IF($I40="","",$I40*$H$3/100)</f>
        <v/>
      </c>
      <c r="K40" s="36" t="str">
        <f aca="false">IF($I40="","",$I40-$J40)</f>
        <v/>
      </c>
      <c r="L40" s="37"/>
      <c r="M40" s="37"/>
      <c r="N40" s="34"/>
      <c r="O40" s="38" t="str">
        <f aca="false">IF(OR($K40="",$N40="",$N40=0),"",$K40/$N40)</f>
        <v/>
      </c>
      <c r="P40" s="39" t="str">
        <f aca="false">IF(OR($M40="",$B$3=""),"",IF($J$3="mes_completo",(YEAR($B$3)-YEAR($M40))*12+(MONTH($B$3)-MONTH($M40))-IF(DAY($B$3)&lt;DAY($M40),1,0),($B$3-$M40)/365.25*12))</f>
        <v/>
      </c>
      <c r="Q40" s="36" t="str">
        <f aca="false">IF(OR($O40="",$P40=""),"",MIN($O40*$P40,$K40))</f>
        <v/>
      </c>
      <c r="R40" s="35"/>
      <c r="S40" s="36" t="str">
        <f aca="false">IF($Q40="","",$I40-$Q40)</f>
        <v/>
      </c>
      <c r="T40" s="36" t="str">
        <f aca="false">IF($Q40="","",$I40-$Q40-IF($R40="",0,$R40))</f>
        <v/>
      </c>
      <c r="U40" s="40" t="str">
        <f aca="false">IF(OR($Q40="",$K40=0),"",$Q40/$K40)</f>
        <v/>
      </c>
      <c r="V40" s="35"/>
      <c r="W40" s="36" t="str">
        <f aca="false">IF(OR($Q40="",$V40=""),"",$Q40-$V40)</f>
        <v/>
      </c>
      <c r="X40" s="17" t="str">
        <f aca="false">IF($Q40="","",IF($Q40&gt;=$K40,"SI","NO"))</f>
        <v/>
      </c>
    </row>
    <row r="41" customFormat="false" ht="15" hidden="false" customHeight="false" outlineLevel="0" collapsed="false">
      <c r="A41" s="34"/>
      <c r="B41" s="34"/>
      <c r="C41" s="34"/>
      <c r="D41" s="34"/>
      <c r="E41" s="34"/>
      <c r="F41" s="34"/>
      <c r="G41" s="35"/>
      <c r="H41" s="35"/>
      <c r="I41" s="36" t="str">
        <f aca="false">IF($G41="","",$G41+IF($H41="",0,$H41))</f>
        <v/>
      </c>
      <c r="J41" s="36" t="str">
        <f aca="false">IF($I41="","",$I41*$H$3/100)</f>
        <v/>
      </c>
      <c r="K41" s="36" t="str">
        <f aca="false">IF($I41="","",$I41-$J41)</f>
        <v/>
      </c>
      <c r="L41" s="37"/>
      <c r="M41" s="37"/>
      <c r="N41" s="34"/>
      <c r="O41" s="38" t="str">
        <f aca="false">IF(OR($K41="",$N41="",$N41=0),"",$K41/$N41)</f>
        <v/>
      </c>
      <c r="P41" s="39" t="str">
        <f aca="false">IF(OR($M41="",$B$3=""),"",IF($J$3="mes_completo",(YEAR($B$3)-YEAR($M41))*12+(MONTH($B$3)-MONTH($M41))-IF(DAY($B$3)&lt;DAY($M41),1,0),($B$3-$M41)/365.25*12))</f>
        <v/>
      </c>
      <c r="Q41" s="36" t="str">
        <f aca="false">IF(OR($O41="",$P41=""),"",MIN($O41*$P41,$K41))</f>
        <v/>
      </c>
      <c r="R41" s="35"/>
      <c r="S41" s="36" t="str">
        <f aca="false">IF($Q41="","",$I41-$Q41)</f>
        <v/>
      </c>
      <c r="T41" s="36" t="str">
        <f aca="false">IF($Q41="","",$I41-$Q41-IF($R41="",0,$R41))</f>
        <v/>
      </c>
      <c r="U41" s="40" t="str">
        <f aca="false">IF(OR($Q41="",$K41=0),"",$Q41/$K41)</f>
        <v/>
      </c>
      <c r="V41" s="35"/>
      <c r="W41" s="36" t="str">
        <f aca="false">IF(OR($Q41="",$V41=""),"",$Q41-$V41)</f>
        <v/>
      </c>
      <c r="X41" s="17" t="str">
        <f aca="false">IF($Q41="","",IF($Q41&gt;=$K41,"SI","NO"))</f>
        <v/>
      </c>
    </row>
    <row r="42" customFormat="false" ht="15" hidden="false" customHeight="false" outlineLevel="0" collapsed="false">
      <c r="A42" s="34"/>
      <c r="B42" s="34"/>
      <c r="C42" s="34"/>
      <c r="D42" s="34"/>
      <c r="E42" s="34"/>
      <c r="F42" s="34"/>
      <c r="G42" s="35"/>
      <c r="H42" s="35"/>
      <c r="I42" s="36" t="str">
        <f aca="false">IF($G42="","",$G42+IF($H42="",0,$H42))</f>
        <v/>
      </c>
      <c r="J42" s="36" t="str">
        <f aca="false">IF($I42="","",$I42*$H$3/100)</f>
        <v/>
      </c>
      <c r="K42" s="36" t="str">
        <f aca="false">IF($I42="","",$I42-$J42)</f>
        <v/>
      </c>
      <c r="L42" s="37"/>
      <c r="M42" s="37"/>
      <c r="N42" s="34"/>
      <c r="O42" s="38" t="str">
        <f aca="false">IF(OR($K42="",$N42="",$N42=0),"",$K42/$N42)</f>
        <v/>
      </c>
      <c r="P42" s="39" t="str">
        <f aca="false">IF(OR($M42="",$B$3=""),"",IF($J$3="mes_completo",(YEAR($B$3)-YEAR($M42))*12+(MONTH($B$3)-MONTH($M42))-IF(DAY($B$3)&lt;DAY($M42),1,0),($B$3-$M42)/365.25*12))</f>
        <v/>
      </c>
      <c r="Q42" s="36" t="str">
        <f aca="false">IF(OR($O42="",$P42=""),"",MIN($O42*$P42,$K42))</f>
        <v/>
      </c>
      <c r="R42" s="35"/>
      <c r="S42" s="36" t="str">
        <f aca="false">IF($Q42="","",$I42-$Q42)</f>
        <v/>
      </c>
      <c r="T42" s="36" t="str">
        <f aca="false">IF($Q42="","",$I42-$Q42-IF($R42="",0,$R42))</f>
        <v/>
      </c>
      <c r="U42" s="40" t="str">
        <f aca="false">IF(OR($Q42="",$K42=0),"",$Q42/$K42)</f>
        <v/>
      </c>
      <c r="V42" s="35"/>
      <c r="W42" s="36" t="str">
        <f aca="false">IF(OR($Q42="",$V42=""),"",$Q42-$V42)</f>
        <v/>
      </c>
      <c r="X42" s="17" t="str">
        <f aca="false">IF($Q42="","",IF($Q42&gt;=$K42,"SI","NO"))</f>
        <v/>
      </c>
    </row>
    <row r="43" customFormat="false" ht="15" hidden="false" customHeight="false" outlineLevel="0" collapsed="false">
      <c r="A43" s="34"/>
      <c r="B43" s="34"/>
      <c r="C43" s="34"/>
      <c r="D43" s="34"/>
      <c r="E43" s="34"/>
      <c r="F43" s="34"/>
      <c r="G43" s="35"/>
      <c r="H43" s="35"/>
      <c r="I43" s="36" t="str">
        <f aca="false">IF($G43="","",$G43+IF($H43="",0,$H43))</f>
        <v/>
      </c>
      <c r="J43" s="36" t="str">
        <f aca="false">IF($I43="","",$I43*$H$3/100)</f>
        <v/>
      </c>
      <c r="K43" s="36" t="str">
        <f aca="false">IF($I43="","",$I43-$J43)</f>
        <v/>
      </c>
      <c r="L43" s="37"/>
      <c r="M43" s="37"/>
      <c r="N43" s="34"/>
      <c r="O43" s="38" t="str">
        <f aca="false">IF(OR($K43="",$N43="",$N43=0),"",$K43/$N43)</f>
        <v/>
      </c>
      <c r="P43" s="39" t="str">
        <f aca="false">IF(OR($M43="",$B$3=""),"",IF($J$3="mes_completo",(YEAR($B$3)-YEAR($M43))*12+(MONTH($B$3)-MONTH($M43))-IF(DAY($B$3)&lt;DAY($M43),1,0),($B$3-$M43)/365.25*12))</f>
        <v/>
      </c>
      <c r="Q43" s="36" t="str">
        <f aca="false">IF(OR($O43="",$P43=""),"",MIN($O43*$P43,$K43))</f>
        <v/>
      </c>
      <c r="R43" s="35"/>
      <c r="S43" s="36" t="str">
        <f aca="false">IF($Q43="","",$I43-$Q43)</f>
        <v/>
      </c>
      <c r="T43" s="36" t="str">
        <f aca="false">IF($Q43="","",$I43-$Q43-IF($R43="",0,$R43))</f>
        <v/>
      </c>
      <c r="U43" s="40" t="str">
        <f aca="false">IF(OR($Q43="",$K43=0),"",$Q43/$K43)</f>
        <v/>
      </c>
      <c r="V43" s="35"/>
      <c r="W43" s="36" t="str">
        <f aca="false">IF(OR($Q43="",$V43=""),"",$Q43-$V43)</f>
        <v/>
      </c>
      <c r="X43" s="17" t="str">
        <f aca="false">IF($Q43="","",IF($Q43&gt;=$K43,"SI","NO"))</f>
        <v/>
      </c>
    </row>
    <row r="44" customFormat="false" ht="15" hidden="false" customHeight="false" outlineLevel="0" collapsed="false">
      <c r="A44" s="34"/>
      <c r="B44" s="34"/>
      <c r="C44" s="34"/>
      <c r="D44" s="34"/>
      <c r="E44" s="34"/>
      <c r="F44" s="34"/>
      <c r="G44" s="35"/>
      <c r="H44" s="35"/>
      <c r="I44" s="36" t="str">
        <f aca="false">IF($G44="","",$G44+IF($H44="",0,$H44))</f>
        <v/>
      </c>
      <c r="J44" s="36" t="str">
        <f aca="false">IF($I44="","",$I44*$H$3/100)</f>
        <v/>
      </c>
      <c r="K44" s="36" t="str">
        <f aca="false">IF($I44="","",$I44-$J44)</f>
        <v/>
      </c>
      <c r="L44" s="37"/>
      <c r="M44" s="37"/>
      <c r="N44" s="34"/>
      <c r="O44" s="38" t="str">
        <f aca="false">IF(OR($K44="",$N44="",$N44=0),"",$K44/$N44)</f>
        <v/>
      </c>
      <c r="P44" s="39" t="str">
        <f aca="false">IF(OR($M44="",$B$3=""),"",IF($J$3="mes_completo",(YEAR($B$3)-YEAR($M44))*12+(MONTH($B$3)-MONTH($M44))-IF(DAY($B$3)&lt;DAY($M44),1,0),($B$3-$M44)/365.25*12))</f>
        <v/>
      </c>
      <c r="Q44" s="36" t="str">
        <f aca="false">IF(OR($O44="",$P44=""),"",MIN($O44*$P44,$K44))</f>
        <v/>
      </c>
      <c r="R44" s="35"/>
      <c r="S44" s="36" t="str">
        <f aca="false">IF($Q44="","",$I44-$Q44)</f>
        <v/>
      </c>
      <c r="T44" s="36" t="str">
        <f aca="false">IF($Q44="","",$I44-$Q44-IF($R44="",0,$R44))</f>
        <v/>
      </c>
      <c r="U44" s="40" t="str">
        <f aca="false">IF(OR($Q44="",$K44=0),"",$Q44/$K44)</f>
        <v/>
      </c>
      <c r="V44" s="35"/>
      <c r="W44" s="36" t="str">
        <f aca="false">IF(OR($Q44="",$V44=""),"",$Q44-$V44)</f>
        <v/>
      </c>
      <c r="X44" s="17" t="str">
        <f aca="false">IF($Q44="","",IF($Q44&gt;=$K44,"SI","NO"))</f>
        <v/>
      </c>
    </row>
    <row r="45" customFormat="false" ht="15" hidden="false" customHeight="false" outlineLevel="0" collapsed="false">
      <c r="A45" s="34"/>
      <c r="B45" s="34"/>
      <c r="C45" s="34"/>
      <c r="D45" s="34"/>
      <c r="E45" s="34"/>
      <c r="F45" s="34"/>
      <c r="G45" s="35"/>
      <c r="H45" s="35"/>
      <c r="I45" s="36" t="str">
        <f aca="false">IF($G45="","",$G45+IF($H45="",0,$H45))</f>
        <v/>
      </c>
      <c r="J45" s="36" t="str">
        <f aca="false">IF($I45="","",$I45*$H$3/100)</f>
        <v/>
      </c>
      <c r="K45" s="36" t="str">
        <f aca="false">IF($I45="","",$I45-$J45)</f>
        <v/>
      </c>
      <c r="L45" s="37"/>
      <c r="M45" s="37"/>
      <c r="N45" s="34"/>
      <c r="O45" s="38" t="str">
        <f aca="false">IF(OR($K45="",$N45="",$N45=0),"",$K45/$N45)</f>
        <v/>
      </c>
      <c r="P45" s="39" t="str">
        <f aca="false">IF(OR($M45="",$B$3=""),"",IF($J$3="mes_completo",(YEAR($B$3)-YEAR($M45))*12+(MONTH($B$3)-MONTH($M45))-IF(DAY($B$3)&lt;DAY($M45),1,0),($B$3-$M45)/365.25*12))</f>
        <v/>
      </c>
      <c r="Q45" s="36" t="str">
        <f aca="false">IF(OR($O45="",$P45=""),"",MIN($O45*$P45,$K45))</f>
        <v/>
      </c>
      <c r="R45" s="35"/>
      <c r="S45" s="36" t="str">
        <f aca="false">IF($Q45="","",$I45-$Q45)</f>
        <v/>
      </c>
      <c r="T45" s="36" t="str">
        <f aca="false">IF($Q45="","",$I45-$Q45-IF($R45="",0,$R45))</f>
        <v/>
      </c>
      <c r="U45" s="40" t="str">
        <f aca="false">IF(OR($Q45="",$K45=0),"",$Q45/$K45)</f>
        <v/>
      </c>
      <c r="V45" s="35"/>
      <c r="W45" s="36" t="str">
        <f aca="false">IF(OR($Q45="",$V45=""),"",$Q45-$V45)</f>
        <v/>
      </c>
      <c r="X45" s="17" t="str">
        <f aca="false">IF($Q45="","",IF($Q45&gt;=$K45,"SI","NO"))</f>
        <v/>
      </c>
    </row>
    <row r="46" customFormat="false" ht="15" hidden="false" customHeight="false" outlineLevel="0" collapsed="false">
      <c r="A46" s="34"/>
      <c r="B46" s="34"/>
      <c r="C46" s="34"/>
      <c r="D46" s="34"/>
      <c r="E46" s="34"/>
      <c r="F46" s="34"/>
      <c r="G46" s="35"/>
      <c r="H46" s="35"/>
      <c r="I46" s="36" t="str">
        <f aca="false">IF($G46="","",$G46+IF($H46="",0,$H46))</f>
        <v/>
      </c>
      <c r="J46" s="36" t="str">
        <f aca="false">IF($I46="","",$I46*$H$3/100)</f>
        <v/>
      </c>
      <c r="K46" s="36" t="str">
        <f aca="false">IF($I46="","",$I46-$J46)</f>
        <v/>
      </c>
      <c r="L46" s="37"/>
      <c r="M46" s="37"/>
      <c r="N46" s="34"/>
      <c r="O46" s="38" t="str">
        <f aca="false">IF(OR($K46="",$N46="",$N46=0),"",$K46/$N46)</f>
        <v/>
      </c>
      <c r="P46" s="39" t="str">
        <f aca="false">IF(OR($M46="",$B$3=""),"",IF($J$3="mes_completo",(YEAR($B$3)-YEAR($M46))*12+(MONTH($B$3)-MONTH($M46))-IF(DAY($B$3)&lt;DAY($M46),1,0),($B$3-$M46)/365.25*12))</f>
        <v/>
      </c>
      <c r="Q46" s="36" t="str">
        <f aca="false">IF(OR($O46="",$P46=""),"",MIN($O46*$P46,$K46))</f>
        <v/>
      </c>
      <c r="R46" s="35"/>
      <c r="S46" s="36" t="str">
        <f aca="false">IF($Q46="","",$I46-$Q46)</f>
        <v/>
      </c>
      <c r="T46" s="36" t="str">
        <f aca="false">IF($Q46="","",$I46-$Q46-IF($R46="",0,$R46))</f>
        <v/>
      </c>
      <c r="U46" s="40" t="str">
        <f aca="false">IF(OR($Q46="",$K46=0),"",$Q46/$K46)</f>
        <v/>
      </c>
      <c r="V46" s="35"/>
      <c r="W46" s="36" t="str">
        <f aca="false">IF(OR($Q46="",$V46=""),"",$Q46-$V46)</f>
        <v/>
      </c>
      <c r="X46" s="17" t="str">
        <f aca="false">IF($Q46="","",IF($Q46&gt;=$K46,"SI","NO"))</f>
        <v/>
      </c>
    </row>
    <row r="47" customFormat="false" ht="15" hidden="false" customHeight="false" outlineLevel="0" collapsed="false">
      <c r="A47" s="34"/>
      <c r="B47" s="34"/>
      <c r="C47" s="34"/>
      <c r="D47" s="34"/>
      <c r="E47" s="34"/>
      <c r="F47" s="34"/>
      <c r="G47" s="35"/>
      <c r="H47" s="35"/>
      <c r="I47" s="36" t="str">
        <f aca="false">IF($G47="","",$G47+IF($H47="",0,$H47))</f>
        <v/>
      </c>
      <c r="J47" s="36" t="str">
        <f aca="false">IF($I47="","",$I47*$H$3/100)</f>
        <v/>
      </c>
      <c r="K47" s="36" t="str">
        <f aca="false">IF($I47="","",$I47-$J47)</f>
        <v/>
      </c>
      <c r="L47" s="37"/>
      <c r="M47" s="37"/>
      <c r="N47" s="34"/>
      <c r="O47" s="38" t="str">
        <f aca="false">IF(OR($K47="",$N47="",$N47=0),"",$K47/$N47)</f>
        <v/>
      </c>
      <c r="P47" s="39" t="str">
        <f aca="false">IF(OR($M47="",$B$3=""),"",IF($J$3="mes_completo",(YEAR($B$3)-YEAR($M47))*12+(MONTH($B$3)-MONTH($M47))-IF(DAY($B$3)&lt;DAY($M47),1,0),($B$3-$M47)/365.25*12))</f>
        <v/>
      </c>
      <c r="Q47" s="36" t="str">
        <f aca="false">IF(OR($O47="",$P47=""),"",MIN($O47*$P47,$K47))</f>
        <v/>
      </c>
      <c r="R47" s="35"/>
      <c r="S47" s="36" t="str">
        <f aca="false">IF($Q47="","",$I47-$Q47)</f>
        <v/>
      </c>
      <c r="T47" s="36" t="str">
        <f aca="false">IF($Q47="","",$I47-$Q47-IF($R47="",0,$R47))</f>
        <v/>
      </c>
      <c r="U47" s="40" t="str">
        <f aca="false">IF(OR($Q47="",$K47=0),"",$Q47/$K47)</f>
        <v/>
      </c>
      <c r="V47" s="35"/>
      <c r="W47" s="36" t="str">
        <f aca="false">IF(OR($Q47="",$V47=""),"",$Q47-$V47)</f>
        <v/>
      </c>
      <c r="X47" s="17" t="str">
        <f aca="false">IF($Q47="","",IF($Q47&gt;=$K47,"SI","NO"))</f>
        <v/>
      </c>
    </row>
    <row r="48" customFormat="false" ht="15" hidden="false" customHeight="false" outlineLevel="0" collapsed="false">
      <c r="A48" s="34"/>
      <c r="B48" s="34"/>
      <c r="C48" s="34"/>
      <c r="D48" s="34"/>
      <c r="E48" s="34"/>
      <c r="F48" s="34"/>
      <c r="G48" s="35"/>
      <c r="H48" s="35"/>
      <c r="I48" s="36" t="str">
        <f aca="false">IF($G48="","",$G48+IF($H48="",0,$H48))</f>
        <v/>
      </c>
      <c r="J48" s="36" t="str">
        <f aca="false">IF($I48="","",$I48*$H$3/100)</f>
        <v/>
      </c>
      <c r="K48" s="36" t="str">
        <f aca="false">IF($I48="","",$I48-$J48)</f>
        <v/>
      </c>
      <c r="L48" s="37"/>
      <c r="M48" s="37"/>
      <c r="N48" s="34"/>
      <c r="O48" s="38" t="str">
        <f aca="false">IF(OR($K48="",$N48="",$N48=0),"",$K48/$N48)</f>
        <v/>
      </c>
      <c r="P48" s="39" t="str">
        <f aca="false">IF(OR($M48="",$B$3=""),"",IF($J$3="mes_completo",(YEAR($B$3)-YEAR($M48))*12+(MONTH($B$3)-MONTH($M48))-IF(DAY($B$3)&lt;DAY($M48),1,0),($B$3-$M48)/365.25*12))</f>
        <v/>
      </c>
      <c r="Q48" s="36" t="str">
        <f aca="false">IF(OR($O48="",$P48=""),"",MIN($O48*$P48,$K48))</f>
        <v/>
      </c>
      <c r="R48" s="35"/>
      <c r="S48" s="36" t="str">
        <f aca="false">IF($Q48="","",$I48-$Q48)</f>
        <v/>
      </c>
      <c r="T48" s="36" t="str">
        <f aca="false">IF($Q48="","",$I48-$Q48-IF($R48="",0,$R48))</f>
        <v/>
      </c>
      <c r="U48" s="40" t="str">
        <f aca="false">IF(OR($Q48="",$K48=0),"",$Q48/$K48)</f>
        <v/>
      </c>
      <c r="V48" s="35"/>
      <c r="W48" s="36" t="str">
        <f aca="false">IF(OR($Q48="",$V48=""),"",$Q48-$V48)</f>
        <v/>
      </c>
      <c r="X48" s="17" t="str">
        <f aca="false">IF($Q48="","",IF($Q48&gt;=$K48,"SI","NO"))</f>
        <v/>
      </c>
    </row>
    <row r="49" customFormat="false" ht="15" hidden="false" customHeight="false" outlineLevel="0" collapsed="false">
      <c r="A49" s="34"/>
      <c r="B49" s="34"/>
      <c r="C49" s="34"/>
      <c r="D49" s="34"/>
      <c r="E49" s="34"/>
      <c r="F49" s="34"/>
      <c r="G49" s="35"/>
      <c r="H49" s="35"/>
      <c r="I49" s="36" t="str">
        <f aca="false">IF($G49="","",$G49+IF($H49="",0,$H49))</f>
        <v/>
      </c>
      <c r="J49" s="36" t="str">
        <f aca="false">IF($I49="","",$I49*$H$3/100)</f>
        <v/>
      </c>
      <c r="K49" s="36" t="str">
        <f aca="false">IF($I49="","",$I49-$J49)</f>
        <v/>
      </c>
      <c r="L49" s="37"/>
      <c r="M49" s="37"/>
      <c r="N49" s="34"/>
      <c r="O49" s="38" t="str">
        <f aca="false">IF(OR($K49="",$N49="",$N49=0),"",$K49/$N49)</f>
        <v/>
      </c>
      <c r="P49" s="39" t="str">
        <f aca="false">IF(OR($M49="",$B$3=""),"",IF($J$3="mes_completo",(YEAR($B$3)-YEAR($M49))*12+(MONTH($B$3)-MONTH($M49))-IF(DAY($B$3)&lt;DAY($M49),1,0),($B$3-$M49)/365.25*12))</f>
        <v/>
      </c>
      <c r="Q49" s="36" t="str">
        <f aca="false">IF(OR($O49="",$P49=""),"",MIN($O49*$P49,$K49))</f>
        <v/>
      </c>
      <c r="R49" s="35"/>
      <c r="S49" s="36" t="str">
        <f aca="false">IF($Q49="","",$I49-$Q49)</f>
        <v/>
      </c>
      <c r="T49" s="36" t="str">
        <f aca="false">IF($Q49="","",$I49-$Q49-IF($R49="",0,$R49))</f>
        <v/>
      </c>
      <c r="U49" s="40" t="str">
        <f aca="false">IF(OR($Q49="",$K49=0),"",$Q49/$K49)</f>
        <v/>
      </c>
      <c r="V49" s="35"/>
      <c r="W49" s="36" t="str">
        <f aca="false">IF(OR($Q49="",$V49=""),"",$Q49-$V49)</f>
        <v/>
      </c>
      <c r="X49" s="17" t="str">
        <f aca="false">IF($Q49="","",IF($Q49&gt;=$K49,"SI","NO"))</f>
        <v/>
      </c>
    </row>
    <row r="50" customFormat="false" ht="15" hidden="false" customHeight="false" outlineLevel="0" collapsed="false">
      <c r="A50" s="34"/>
      <c r="B50" s="34"/>
      <c r="C50" s="34"/>
      <c r="D50" s="34"/>
      <c r="E50" s="34"/>
      <c r="F50" s="34"/>
      <c r="G50" s="35"/>
      <c r="H50" s="35"/>
      <c r="I50" s="36" t="str">
        <f aca="false">IF($G50="","",$G50+IF($H50="",0,$H50))</f>
        <v/>
      </c>
      <c r="J50" s="36" t="str">
        <f aca="false">IF($I50="","",$I50*$H$3/100)</f>
        <v/>
      </c>
      <c r="K50" s="36" t="str">
        <f aca="false">IF($I50="","",$I50-$J50)</f>
        <v/>
      </c>
      <c r="L50" s="37"/>
      <c r="M50" s="37"/>
      <c r="N50" s="34"/>
      <c r="O50" s="38" t="str">
        <f aca="false">IF(OR($K50="",$N50="",$N50=0),"",$K50/$N50)</f>
        <v/>
      </c>
      <c r="P50" s="39" t="str">
        <f aca="false">IF(OR($M50="",$B$3=""),"",IF($J$3="mes_completo",(YEAR($B$3)-YEAR($M50))*12+(MONTH($B$3)-MONTH($M50))-IF(DAY($B$3)&lt;DAY($M50),1,0),($B$3-$M50)/365.25*12))</f>
        <v/>
      </c>
      <c r="Q50" s="36" t="str">
        <f aca="false">IF(OR($O50="",$P50=""),"",MIN($O50*$P50,$K50))</f>
        <v/>
      </c>
      <c r="R50" s="35"/>
      <c r="S50" s="36" t="str">
        <f aca="false">IF($Q50="","",$I50-$Q50)</f>
        <v/>
      </c>
      <c r="T50" s="36" t="str">
        <f aca="false">IF($Q50="","",$I50-$Q50-IF($R50="",0,$R50))</f>
        <v/>
      </c>
      <c r="U50" s="40" t="str">
        <f aca="false">IF(OR($Q50="",$K50=0),"",$Q50/$K50)</f>
        <v/>
      </c>
      <c r="V50" s="35"/>
      <c r="W50" s="36" t="str">
        <f aca="false">IF(OR($Q50="",$V50=""),"",$Q50-$V50)</f>
        <v/>
      </c>
      <c r="X50" s="17" t="str">
        <f aca="false">IF($Q50="","",IF($Q50&gt;=$K50,"SI","NO"))</f>
        <v/>
      </c>
    </row>
    <row r="51" customFormat="false" ht="15" hidden="false" customHeight="false" outlineLevel="0" collapsed="false">
      <c r="A51" s="34"/>
      <c r="B51" s="34"/>
      <c r="C51" s="34"/>
      <c r="D51" s="34"/>
      <c r="E51" s="34"/>
      <c r="F51" s="34"/>
      <c r="G51" s="35"/>
      <c r="H51" s="35"/>
      <c r="I51" s="36" t="str">
        <f aca="false">IF($G51="","",$G51+IF($H51="",0,$H51))</f>
        <v/>
      </c>
      <c r="J51" s="36" t="str">
        <f aca="false">IF($I51="","",$I51*$H$3/100)</f>
        <v/>
      </c>
      <c r="K51" s="36" t="str">
        <f aca="false">IF($I51="","",$I51-$J51)</f>
        <v/>
      </c>
      <c r="L51" s="37"/>
      <c r="M51" s="37"/>
      <c r="N51" s="34"/>
      <c r="O51" s="38" t="str">
        <f aca="false">IF(OR($K51="",$N51="",$N51=0),"",$K51/$N51)</f>
        <v/>
      </c>
      <c r="P51" s="39" t="str">
        <f aca="false">IF(OR($M51="",$B$3=""),"",IF($J$3="mes_completo",(YEAR($B$3)-YEAR($M51))*12+(MONTH($B$3)-MONTH($M51))-IF(DAY($B$3)&lt;DAY($M51),1,0),($B$3-$M51)/365.25*12))</f>
        <v/>
      </c>
      <c r="Q51" s="36" t="str">
        <f aca="false">IF(OR($O51="",$P51=""),"",MIN($O51*$P51,$K51))</f>
        <v/>
      </c>
      <c r="R51" s="35"/>
      <c r="S51" s="36" t="str">
        <f aca="false">IF($Q51="","",$I51-$Q51)</f>
        <v/>
      </c>
      <c r="T51" s="36" t="str">
        <f aca="false">IF($Q51="","",$I51-$Q51-IF($R51="",0,$R51))</f>
        <v/>
      </c>
      <c r="U51" s="40" t="str">
        <f aca="false">IF(OR($Q51="",$K51=0),"",$Q51/$K51)</f>
        <v/>
      </c>
      <c r="V51" s="35"/>
      <c r="W51" s="36" t="str">
        <f aca="false">IF(OR($Q51="",$V51=""),"",$Q51-$V51)</f>
        <v/>
      </c>
      <c r="X51" s="17" t="str">
        <f aca="false">IF($Q51="","",IF($Q51&gt;=$K51,"SI","NO"))</f>
        <v/>
      </c>
    </row>
    <row r="52" customFormat="false" ht="15" hidden="false" customHeight="false" outlineLevel="0" collapsed="false">
      <c r="A52" s="34"/>
      <c r="B52" s="34"/>
      <c r="C52" s="34"/>
      <c r="D52" s="34"/>
      <c r="E52" s="34"/>
      <c r="F52" s="34"/>
      <c r="G52" s="35"/>
      <c r="H52" s="35"/>
      <c r="I52" s="36" t="str">
        <f aca="false">IF($G52="","",$G52+IF($H52="",0,$H52))</f>
        <v/>
      </c>
      <c r="J52" s="36" t="str">
        <f aca="false">IF($I52="","",$I52*$H$3/100)</f>
        <v/>
      </c>
      <c r="K52" s="36" t="str">
        <f aca="false">IF($I52="","",$I52-$J52)</f>
        <v/>
      </c>
      <c r="L52" s="37"/>
      <c r="M52" s="37"/>
      <c r="N52" s="34"/>
      <c r="O52" s="38" t="str">
        <f aca="false">IF(OR($K52="",$N52="",$N52=0),"",$K52/$N52)</f>
        <v/>
      </c>
      <c r="P52" s="39" t="str">
        <f aca="false">IF(OR($M52="",$B$3=""),"",IF($J$3="mes_completo",(YEAR($B$3)-YEAR($M52))*12+(MONTH($B$3)-MONTH($M52))-IF(DAY($B$3)&lt;DAY($M52),1,0),($B$3-$M52)/365.25*12))</f>
        <v/>
      </c>
      <c r="Q52" s="36" t="str">
        <f aca="false">IF(OR($O52="",$P52=""),"",MIN($O52*$P52,$K52))</f>
        <v/>
      </c>
      <c r="R52" s="35"/>
      <c r="S52" s="36" t="str">
        <f aca="false">IF($Q52="","",$I52-$Q52)</f>
        <v/>
      </c>
      <c r="T52" s="36" t="str">
        <f aca="false">IF($Q52="","",$I52-$Q52-IF($R52="",0,$R52))</f>
        <v/>
      </c>
      <c r="U52" s="40" t="str">
        <f aca="false">IF(OR($Q52="",$K52=0),"",$Q52/$K52)</f>
        <v/>
      </c>
      <c r="V52" s="35"/>
      <c r="W52" s="36" t="str">
        <f aca="false">IF(OR($Q52="",$V52=""),"",$Q52-$V52)</f>
        <v/>
      </c>
      <c r="X52" s="17" t="str">
        <f aca="false">IF($Q52="","",IF($Q52&gt;=$K52,"SI","NO"))</f>
        <v/>
      </c>
    </row>
    <row r="53" customFormat="false" ht="15" hidden="false" customHeight="false" outlineLevel="0" collapsed="false">
      <c r="A53" s="34"/>
      <c r="B53" s="34"/>
      <c r="C53" s="34"/>
      <c r="D53" s="34"/>
      <c r="E53" s="34"/>
      <c r="F53" s="34"/>
      <c r="G53" s="35"/>
      <c r="H53" s="35"/>
      <c r="I53" s="36" t="str">
        <f aca="false">IF($G53="","",$G53+IF($H53="",0,$H53))</f>
        <v/>
      </c>
      <c r="J53" s="36" t="str">
        <f aca="false">IF($I53="","",$I53*$H$3/100)</f>
        <v/>
      </c>
      <c r="K53" s="36" t="str">
        <f aca="false">IF($I53="","",$I53-$J53)</f>
        <v/>
      </c>
      <c r="L53" s="37"/>
      <c r="M53" s="37"/>
      <c r="N53" s="34"/>
      <c r="O53" s="38" t="str">
        <f aca="false">IF(OR($K53="",$N53="",$N53=0),"",$K53/$N53)</f>
        <v/>
      </c>
      <c r="P53" s="39" t="str">
        <f aca="false">IF(OR($M53="",$B$3=""),"",IF($J$3="mes_completo",(YEAR($B$3)-YEAR($M53))*12+(MONTH($B$3)-MONTH($M53))-IF(DAY($B$3)&lt;DAY($M53),1,0),($B$3-$M53)/365.25*12))</f>
        <v/>
      </c>
      <c r="Q53" s="36" t="str">
        <f aca="false">IF(OR($O53="",$P53=""),"",MIN($O53*$P53,$K53))</f>
        <v/>
      </c>
      <c r="R53" s="35"/>
      <c r="S53" s="36" t="str">
        <f aca="false">IF($Q53="","",$I53-$Q53)</f>
        <v/>
      </c>
      <c r="T53" s="36" t="str">
        <f aca="false">IF($Q53="","",$I53-$Q53-IF($R53="",0,$R53))</f>
        <v/>
      </c>
      <c r="U53" s="40" t="str">
        <f aca="false">IF(OR($Q53="",$K53=0),"",$Q53/$K53)</f>
        <v/>
      </c>
      <c r="V53" s="35"/>
      <c r="W53" s="36" t="str">
        <f aca="false">IF(OR($Q53="",$V53=""),"",$Q53-$V53)</f>
        <v/>
      </c>
      <c r="X53" s="17" t="str">
        <f aca="false">IF($Q53="","",IF($Q53&gt;=$K53,"SI","NO"))</f>
        <v/>
      </c>
    </row>
    <row r="54" customFormat="false" ht="15" hidden="false" customHeight="false" outlineLevel="0" collapsed="false">
      <c r="A54" s="34"/>
      <c r="B54" s="34"/>
      <c r="C54" s="34"/>
      <c r="D54" s="34"/>
      <c r="E54" s="34"/>
      <c r="F54" s="34"/>
      <c r="G54" s="35"/>
      <c r="H54" s="35"/>
      <c r="I54" s="36" t="str">
        <f aca="false">IF($G54="","",$G54+IF($H54="",0,$H54))</f>
        <v/>
      </c>
      <c r="J54" s="36" t="str">
        <f aca="false">IF($I54="","",$I54*$H$3/100)</f>
        <v/>
      </c>
      <c r="K54" s="36" t="str">
        <f aca="false">IF($I54="","",$I54-$J54)</f>
        <v/>
      </c>
      <c r="L54" s="37"/>
      <c r="M54" s="37"/>
      <c r="N54" s="34"/>
      <c r="O54" s="38" t="str">
        <f aca="false">IF(OR($K54="",$N54="",$N54=0),"",$K54/$N54)</f>
        <v/>
      </c>
      <c r="P54" s="39" t="str">
        <f aca="false">IF(OR($M54="",$B$3=""),"",IF($J$3="mes_completo",(YEAR($B$3)-YEAR($M54))*12+(MONTH($B$3)-MONTH($M54))-IF(DAY($B$3)&lt;DAY($M54),1,0),($B$3-$M54)/365.25*12))</f>
        <v/>
      </c>
      <c r="Q54" s="36" t="str">
        <f aca="false">IF(OR($O54="",$P54=""),"",MIN($O54*$P54,$K54))</f>
        <v/>
      </c>
      <c r="R54" s="35"/>
      <c r="S54" s="36" t="str">
        <f aca="false">IF($Q54="","",$I54-$Q54)</f>
        <v/>
      </c>
      <c r="T54" s="36" t="str">
        <f aca="false">IF($Q54="","",$I54-$Q54-IF($R54="",0,$R54))</f>
        <v/>
      </c>
      <c r="U54" s="40" t="str">
        <f aca="false">IF(OR($Q54="",$K54=0),"",$Q54/$K54)</f>
        <v/>
      </c>
      <c r="V54" s="35"/>
      <c r="W54" s="36" t="str">
        <f aca="false">IF(OR($Q54="",$V54=""),"",$Q54-$V54)</f>
        <v/>
      </c>
      <c r="X54" s="17" t="str">
        <f aca="false">IF($Q54="","",IF($Q54&gt;=$K54,"SI","NO"))</f>
        <v/>
      </c>
    </row>
    <row r="55" customFormat="false" ht="15" hidden="false" customHeight="false" outlineLevel="0" collapsed="false">
      <c r="A55" s="34"/>
      <c r="B55" s="34"/>
      <c r="C55" s="34"/>
      <c r="D55" s="34"/>
      <c r="E55" s="34"/>
      <c r="F55" s="34"/>
      <c r="G55" s="35"/>
      <c r="H55" s="35"/>
      <c r="I55" s="36" t="str">
        <f aca="false">IF($G55="","",$G55+IF($H55="",0,$H55))</f>
        <v/>
      </c>
      <c r="J55" s="36" t="str">
        <f aca="false">IF($I55="","",$I55*$H$3/100)</f>
        <v/>
      </c>
      <c r="K55" s="36" t="str">
        <f aca="false">IF($I55="","",$I55-$J55)</f>
        <v/>
      </c>
      <c r="L55" s="37"/>
      <c r="M55" s="37"/>
      <c r="N55" s="34"/>
      <c r="O55" s="38" t="str">
        <f aca="false">IF(OR($K55="",$N55="",$N55=0),"",$K55/$N55)</f>
        <v/>
      </c>
      <c r="P55" s="39" t="str">
        <f aca="false">IF(OR($M55="",$B$3=""),"",IF($J$3="mes_completo",(YEAR($B$3)-YEAR($M55))*12+(MONTH($B$3)-MONTH($M55))-IF(DAY($B$3)&lt;DAY($M55),1,0),($B$3-$M55)/365.25*12))</f>
        <v/>
      </c>
      <c r="Q55" s="36" t="str">
        <f aca="false">IF(OR($O55="",$P55=""),"",MIN($O55*$P55,$K55))</f>
        <v/>
      </c>
      <c r="R55" s="35"/>
      <c r="S55" s="36" t="str">
        <f aca="false">IF($Q55="","",$I55-$Q55)</f>
        <v/>
      </c>
      <c r="T55" s="36" t="str">
        <f aca="false">IF($Q55="","",$I55-$Q55-IF($R55="",0,$R55))</f>
        <v/>
      </c>
      <c r="U55" s="40" t="str">
        <f aca="false">IF(OR($Q55="",$K55=0),"",$Q55/$K55)</f>
        <v/>
      </c>
      <c r="V55" s="35"/>
      <c r="W55" s="36" t="str">
        <f aca="false">IF(OR($Q55="",$V55=""),"",$Q55-$V55)</f>
        <v/>
      </c>
      <c r="X55" s="17" t="str">
        <f aca="false">IF($Q55="","",IF($Q55&gt;=$K55,"SI","NO"))</f>
        <v/>
      </c>
    </row>
    <row r="56" customFormat="false" ht="15" hidden="false" customHeight="false" outlineLevel="0" collapsed="false">
      <c r="A56" s="34"/>
      <c r="B56" s="34"/>
      <c r="C56" s="34"/>
      <c r="D56" s="34"/>
      <c r="E56" s="34"/>
      <c r="F56" s="34"/>
      <c r="G56" s="35"/>
      <c r="H56" s="35"/>
      <c r="I56" s="36" t="str">
        <f aca="false">IF($G56="","",$G56+IF($H56="",0,$H56))</f>
        <v/>
      </c>
      <c r="J56" s="36" t="str">
        <f aca="false">IF($I56="","",$I56*$H$3/100)</f>
        <v/>
      </c>
      <c r="K56" s="36" t="str">
        <f aca="false">IF($I56="","",$I56-$J56)</f>
        <v/>
      </c>
      <c r="L56" s="37"/>
      <c r="M56" s="37"/>
      <c r="N56" s="34"/>
      <c r="O56" s="38" t="str">
        <f aca="false">IF(OR($K56="",$N56="",$N56=0),"",$K56/$N56)</f>
        <v/>
      </c>
      <c r="P56" s="39" t="str">
        <f aca="false">IF(OR($M56="",$B$3=""),"",IF($J$3="mes_completo",(YEAR($B$3)-YEAR($M56))*12+(MONTH($B$3)-MONTH($M56))-IF(DAY($B$3)&lt;DAY($M56),1,0),($B$3-$M56)/365.25*12))</f>
        <v/>
      </c>
      <c r="Q56" s="36" t="str">
        <f aca="false">IF(OR($O56="",$P56=""),"",MIN($O56*$P56,$K56))</f>
        <v/>
      </c>
      <c r="R56" s="35"/>
      <c r="S56" s="36" t="str">
        <f aca="false">IF($Q56="","",$I56-$Q56)</f>
        <v/>
      </c>
      <c r="T56" s="36" t="str">
        <f aca="false">IF($Q56="","",$I56-$Q56-IF($R56="",0,$R56))</f>
        <v/>
      </c>
      <c r="U56" s="40" t="str">
        <f aca="false">IF(OR($Q56="",$K56=0),"",$Q56/$K56)</f>
        <v/>
      </c>
      <c r="V56" s="35"/>
      <c r="W56" s="36" t="str">
        <f aca="false">IF(OR($Q56="",$V56=""),"",$Q56-$V56)</f>
        <v/>
      </c>
      <c r="X56" s="17" t="str">
        <f aca="false">IF($Q56="","",IF($Q56&gt;=$K56,"SI","NO"))</f>
        <v/>
      </c>
    </row>
    <row r="57" customFormat="false" ht="15" hidden="false" customHeight="false" outlineLevel="0" collapsed="false">
      <c r="A57" s="34"/>
      <c r="B57" s="34"/>
      <c r="C57" s="34"/>
      <c r="D57" s="34"/>
      <c r="E57" s="34"/>
      <c r="F57" s="34"/>
      <c r="G57" s="35"/>
      <c r="H57" s="35"/>
      <c r="I57" s="36" t="str">
        <f aca="false">IF($G57="","",$G57+IF($H57="",0,$H57))</f>
        <v/>
      </c>
      <c r="J57" s="36" t="str">
        <f aca="false">IF($I57="","",$I57*$H$3/100)</f>
        <v/>
      </c>
      <c r="K57" s="36" t="str">
        <f aca="false">IF($I57="","",$I57-$J57)</f>
        <v/>
      </c>
      <c r="L57" s="37"/>
      <c r="M57" s="37"/>
      <c r="N57" s="34"/>
      <c r="O57" s="38" t="str">
        <f aca="false">IF(OR($K57="",$N57="",$N57=0),"",$K57/$N57)</f>
        <v/>
      </c>
      <c r="P57" s="39" t="str">
        <f aca="false">IF(OR($M57="",$B$3=""),"",IF($J$3="mes_completo",(YEAR($B$3)-YEAR($M57))*12+(MONTH($B$3)-MONTH($M57))-IF(DAY($B$3)&lt;DAY($M57),1,0),($B$3-$M57)/365.25*12))</f>
        <v/>
      </c>
      <c r="Q57" s="36" t="str">
        <f aca="false">IF(OR($O57="",$P57=""),"",MIN($O57*$P57,$K57))</f>
        <v/>
      </c>
      <c r="R57" s="35"/>
      <c r="S57" s="36" t="str">
        <f aca="false">IF($Q57="","",$I57-$Q57)</f>
        <v/>
      </c>
      <c r="T57" s="36" t="str">
        <f aca="false">IF($Q57="","",$I57-$Q57-IF($R57="",0,$R57))</f>
        <v/>
      </c>
      <c r="U57" s="40" t="str">
        <f aca="false">IF(OR($Q57="",$K57=0),"",$Q57/$K57)</f>
        <v/>
      </c>
      <c r="V57" s="35"/>
      <c r="W57" s="36" t="str">
        <f aca="false">IF(OR($Q57="",$V57=""),"",$Q57-$V57)</f>
        <v/>
      </c>
      <c r="X57" s="17" t="str">
        <f aca="false">IF($Q57="","",IF($Q57&gt;=$K57,"SI","NO"))</f>
        <v/>
      </c>
    </row>
    <row r="58" customFormat="false" ht="15" hidden="false" customHeight="false" outlineLevel="0" collapsed="false">
      <c r="A58" s="34"/>
      <c r="B58" s="34"/>
      <c r="C58" s="34"/>
      <c r="D58" s="34"/>
      <c r="E58" s="34"/>
      <c r="F58" s="34"/>
      <c r="G58" s="35"/>
      <c r="H58" s="35"/>
      <c r="I58" s="36" t="str">
        <f aca="false">IF($G58="","",$G58+IF($H58="",0,$H58))</f>
        <v/>
      </c>
      <c r="J58" s="36" t="str">
        <f aca="false">IF($I58="","",$I58*$H$3/100)</f>
        <v/>
      </c>
      <c r="K58" s="36" t="str">
        <f aca="false">IF($I58="","",$I58-$J58)</f>
        <v/>
      </c>
      <c r="L58" s="37"/>
      <c r="M58" s="37"/>
      <c r="N58" s="34"/>
      <c r="O58" s="38" t="str">
        <f aca="false">IF(OR($K58="",$N58="",$N58=0),"",$K58/$N58)</f>
        <v/>
      </c>
      <c r="P58" s="39" t="str">
        <f aca="false">IF(OR($M58="",$B$3=""),"",IF($J$3="mes_completo",(YEAR($B$3)-YEAR($M58))*12+(MONTH($B$3)-MONTH($M58))-IF(DAY($B$3)&lt;DAY($M58),1,0),($B$3-$M58)/365.25*12))</f>
        <v/>
      </c>
      <c r="Q58" s="36" t="str">
        <f aca="false">IF(OR($O58="",$P58=""),"",MIN($O58*$P58,$K58))</f>
        <v/>
      </c>
      <c r="R58" s="35"/>
      <c r="S58" s="36" t="str">
        <f aca="false">IF($Q58="","",$I58-$Q58)</f>
        <v/>
      </c>
      <c r="T58" s="36" t="str">
        <f aca="false">IF($Q58="","",$I58-$Q58-IF($R58="",0,$R58))</f>
        <v/>
      </c>
      <c r="U58" s="40" t="str">
        <f aca="false">IF(OR($Q58="",$K58=0),"",$Q58/$K58)</f>
        <v/>
      </c>
      <c r="V58" s="35"/>
      <c r="W58" s="36" t="str">
        <f aca="false">IF(OR($Q58="",$V58=""),"",$Q58-$V58)</f>
        <v/>
      </c>
      <c r="X58" s="17" t="str">
        <f aca="false">IF($Q58="","",IF($Q58&gt;=$K58,"SI","NO"))</f>
        <v/>
      </c>
    </row>
    <row r="59" customFormat="false" ht="15" hidden="false" customHeight="false" outlineLevel="0" collapsed="false">
      <c r="A59" s="34"/>
      <c r="B59" s="34"/>
      <c r="C59" s="34"/>
      <c r="D59" s="34"/>
      <c r="E59" s="34"/>
      <c r="F59" s="34"/>
      <c r="G59" s="35"/>
      <c r="H59" s="35"/>
      <c r="I59" s="36" t="str">
        <f aca="false">IF($G59="","",$G59+IF($H59="",0,$H59))</f>
        <v/>
      </c>
      <c r="J59" s="36" t="str">
        <f aca="false">IF($I59="","",$I59*$H$3/100)</f>
        <v/>
      </c>
      <c r="K59" s="36" t="str">
        <f aca="false">IF($I59="","",$I59-$J59)</f>
        <v/>
      </c>
      <c r="L59" s="37"/>
      <c r="M59" s="37"/>
      <c r="N59" s="34"/>
      <c r="O59" s="38" t="str">
        <f aca="false">IF(OR($K59="",$N59="",$N59=0),"",$K59/$N59)</f>
        <v/>
      </c>
      <c r="P59" s="39" t="str">
        <f aca="false">IF(OR($M59="",$B$3=""),"",IF($J$3="mes_completo",(YEAR($B$3)-YEAR($M59))*12+(MONTH($B$3)-MONTH($M59))-IF(DAY($B$3)&lt;DAY($M59),1,0),($B$3-$M59)/365.25*12))</f>
        <v/>
      </c>
      <c r="Q59" s="36" t="str">
        <f aca="false">IF(OR($O59="",$P59=""),"",MIN($O59*$P59,$K59))</f>
        <v/>
      </c>
      <c r="R59" s="35"/>
      <c r="S59" s="36" t="str">
        <f aca="false">IF($Q59="","",$I59-$Q59)</f>
        <v/>
      </c>
      <c r="T59" s="36" t="str">
        <f aca="false">IF($Q59="","",$I59-$Q59-IF($R59="",0,$R59))</f>
        <v/>
      </c>
      <c r="U59" s="40" t="str">
        <f aca="false">IF(OR($Q59="",$K59=0),"",$Q59/$K59)</f>
        <v/>
      </c>
      <c r="V59" s="35"/>
      <c r="W59" s="36" t="str">
        <f aca="false">IF(OR($Q59="",$V59=""),"",$Q59-$V59)</f>
        <v/>
      </c>
      <c r="X59" s="17" t="str">
        <f aca="false">IF($Q59="","",IF($Q59&gt;=$K59,"SI","NO"))</f>
        <v/>
      </c>
    </row>
    <row r="60" customFormat="false" ht="15" hidden="false" customHeight="false" outlineLevel="0" collapsed="false">
      <c r="A60" s="34"/>
      <c r="B60" s="34"/>
      <c r="C60" s="34"/>
      <c r="D60" s="34"/>
      <c r="E60" s="34"/>
      <c r="F60" s="34"/>
      <c r="G60" s="35"/>
      <c r="H60" s="35"/>
      <c r="I60" s="36" t="str">
        <f aca="false">IF($G60="","",$G60+IF($H60="",0,$H60))</f>
        <v/>
      </c>
      <c r="J60" s="36" t="str">
        <f aca="false">IF($I60="","",$I60*$H$3/100)</f>
        <v/>
      </c>
      <c r="K60" s="36" t="str">
        <f aca="false">IF($I60="","",$I60-$J60)</f>
        <v/>
      </c>
      <c r="L60" s="37"/>
      <c r="M60" s="37"/>
      <c r="N60" s="34"/>
      <c r="O60" s="38" t="str">
        <f aca="false">IF(OR($K60="",$N60="",$N60=0),"",$K60/$N60)</f>
        <v/>
      </c>
      <c r="P60" s="39" t="str">
        <f aca="false">IF(OR($M60="",$B$3=""),"",IF($J$3="mes_completo",(YEAR($B$3)-YEAR($M60))*12+(MONTH($B$3)-MONTH($M60))-IF(DAY($B$3)&lt;DAY($M60),1,0),($B$3-$M60)/365.25*12))</f>
        <v/>
      </c>
      <c r="Q60" s="36" t="str">
        <f aca="false">IF(OR($O60="",$P60=""),"",MIN($O60*$P60,$K60))</f>
        <v/>
      </c>
      <c r="R60" s="35"/>
      <c r="S60" s="36" t="str">
        <f aca="false">IF($Q60="","",$I60-$Q60)</f>
        <v/>
      </c>
      <c r="T60" s="36" t="str">
        <f aca="false">IF($Q60="","",$I60-$Q60-IF($R60="",0,$R60))</f>
        <v/>
      </c>
      <c r="U60" s="40" t="str">
        <f aca="false">IF(OR($Q60="",$K60=0),"",$Q60/$K60)</f>
        <v/>
      </c>
      <c r="V60" s="35"/>
      <c r="W60" s="36" t="str">
        <f aca="false">IF(OR($Q60="",$V60=""),"",$Q60-$V60)</f>
        <v/>
      </c>
      <c r="X60" s="17" t="str">
        <f aca="false">IF($Q60="","",IF($Q60&gt;=$K60,"SI","NO"))</f>
        <v/>
      </c>
    </row>
    <row r="61" customFormat="false" ht="15" hidden="false" customHeight="false" outlineLevel="0" collapsed="false">
      <c r="A61" s="34"/>
      <c r="B61" s="34"/>
      <c r="C61" s="34"/>
      <c r="D61" s="34"/>
      <c r="E61" s="34"/>
      <c r="F61" s="34"/>
      <c r="G61" s="35"/>
      <c r="H61" s="35"/>
      <c r="I61" s="36" t="str">
        <f aca="false">IF($G61="","",$G61+IF($H61="",0,$H61))</f>
        <v/>
      </c>
      <c r="J61" s="36" t="str">
        <f aca="false">IF($I61="","",$I61*$H$3/100)</f>
        <v/>
      </c>
      <c r="K61" s="36" t="str">
        <f aca="false">IF($I61="","",$I61-$J61)</f>
        <v/>
      </c>
      <c r="L61" s="37"/>
      <c r="M61" s="37"/>
      <c r="N61" s="34"/>
      <c r="O61" s="38" t="str">
        <f aca="false">IF(OR($K61="",$N61="",$N61=0),"",$K61/$N61)</f>
        <v/>
      </c>
      <c r="P61" s="39" t="str">
        <f aca="false">IF(OR($M61="",$B$3=""),"",IF($J$3="mes_completo",(YEAR($B$3)-YEAR($M61))*12+(MONTH($B$3)-MONTH($M61))-IF(DAY($B$3)&lt;DAY($M61),1,0),($B$3-$M61)/365.25*12))</f>
        <v/>
      </c>
      <c r="Q61" s="36" t="str">
        <f aca="false">IF(OR($O61="",$P61=""),"",MIN($O61*$P61,$K61))</f>
        <v/>
      </c>
      <c r="R61" s="35"/>
      <c r="S61" s="36" t="str">
        <f aca="false">IF($Q61="","",$I61-$Q61)</f>
        <v/>
      </c>
      <c r="T61" s="36" t="str">
        <f aca="false">IF($Q61="","",$I61-$Q61-IF($R61="",0,$R61))</f>
        <v/>
      </c>
      <c r="U61" s="40" t="str">
        <f aca="false">IF(OR($Q61="",$K61=0),"",$Q61/$K61)</f>
        <v/>
      </c>
      <c r="V61" s="35"/>
      <c r="W61" s="36" t="str">
        <f aca="false">IF(OR($Q61="",$V61=""),"",$Q61-$V61)</f>
        <v/>
      </c>
      <c r="X61" s="17" t="str">
        <f aca="false">IF($Q61="","",IF($Q61&gt;=$K61,"SI","NO"))</f>
        <v/>
      </c>
    </row>
    <row r="62" customFormat="false" ht="15" hidden="false" customHeight="false" outlineLevel="0" collapsed="false">
      <c r="A62" s="34"/>
      <c r="B62" s="34"/>
      <c r="C62" s="34"/>
      <c r="D62" s="34"/>
      <c r="E62" s="34"/>
      <c r="F62" s="34"/>
      <c r="G62" s="35"/>
      <c r="H62" s="35"/>
      <c r="I62" s="36" t="str">
        <f aca="false">IF($G62="","",$G62+IF($H62="",0,$H62))</f>
        <v/>
      </c>
      <c r="J62" s="36" t="str">
        <f aca="false">IF($I62="","",$I62*$H$3/100)</f>
        <v/>
      </c>
      <c r="K62" s="36" t="str">
        <f aca="false">IF($I62="","",$I62-$J62)</f>
        <v/>
      </c>
      <c r="L62" s="37"/>
      <c r="M62" s="37"/>
      <c r="N62" s="34"/>
      <c r="O62" s="38" t="str">
        <f aca="false">IF(OR($K62="",$N62="",$N62=0),"",$K62/$N62)</f>
        <v/>
      </c>
      <c r="P62" s="39" t="str">
        <f aca="false">IF(OR($M62="",$B$3=""),"",IF($J$3="mes_completo",(YEAR($B$3)-YEAR($M62))*12+(MONTH($B$3)-MONTH($M62))-IF(DAY($B$3)&lt;DAY($M62),1,0),($B$3-$M62)/365.25*12))</f>
        <v/>
      </c>
      <c r="Q62" s="36" t="str">
        <f aca="false">IF(OR($O62="",$P62=""),"",MIN($O62*$P62,$K62))</f>
        <v/>
      </c>
      <c r="R62" s="35"/>
      <c r="S62" s="36" t="str">
        <f aca="false">IF($Q62="","",$I62-$Q62)</f>
        <v/>
      </c>
      <c r="T62" s="36" t="str">
        <f aca="false">IF($Q62="","",$I62-$Q62-IF($R62="",0,$R62))</f>
        <v/>
      </c>
      <c r="U62" s="40" t="str">
        <f aca="false">IF(OR($Q62="",$K62=0),"",$Q62/$K62)</f>
        <v/>
      </c>
      <c r="V62" s="35"/>
      <c r="W62" s="36" t="str">
        <f aca="false">IF(OR($Q62="",$V62=""),"",$Q62-$V62)</f>
        <v/>
      </c>
      <c r="X62" s="17" t="str">
        <f aca="false">IF($Q62="","",IF($Q62&gt;=$K62,"SI","NO"))</f>
        <v/>
      </c>
    </row>
    <row r="63" customFormat="false" ht="15" hidden="false" customHeight="false" outlineLevel="0" collapsed="false">
      <c r="A63" s="34"/>
      <c r="B63" s="34"/>
      <c r="C63" s="34"/>
      <c r="D63" s="34"/>
      <c r="E63" s="34"/>
      <c r="F63" s="34"/>
      <c r="G63" s="35"/>
      <c r="H63" s="35"/>
      <c r="I63" s="36" t="str">
        <f aca="false">IF($G63="","",$G63+IF($H63="",0,$H63))</f>
        <v/>
      </c>
      <c r="J63" s="36" t="str">
        <f aca="false">IF($I63="","",$I63*$H$3/100)</f>
        <v/>
      </c>
      <c r="K63" s="36" t="str">
        <f aca="false">IF($I63="","",$I63-$J63)</f>
        <v/>
      </c>
      <c r="L63" s="37"/>
      <c r="M63" s="37"/>
      <c r="N63" s="34"/>
      <c r="O63" s="38" t="str">
        <f aca="false">IF(OR($K63="",$N63="",$N63=0),"",$K63/$N63)</f>
        <v/>
      </c>
      <c r="P63" s="39" t="str">
        <f aca="false">IF(OR($M63="",$B$3=""),"",IF($J$3="mes_completo",(YEAR($B$3)-YEAR($M63))*12+(MONTH($B$3)-MONTH($M63))-IF(DAY($B$3)&lt;DAY($M63),1,0),($B$3-$M63)/365.25*12))</f>
        <v/>
      </c>
      <c r="Q63" s="36" t="str">
        <f aca="false">IF(OR($O63="",$P63=""),"",MIN($O63*$P63,$K63))</f>
        <v/>
      </c>
      <c r="R63" s="35"/>
      <c r="S63" s="36" t="str">
        <f aca="false">IF($Q63="","",$I63-$Q63)</f>
        <v/>
      </c>
      <c r="T63" s="36" t="str">
        <f aca="false">IF($Q63="","",$I63-$Q63-IF($R63="",0,$R63))</f>
        <v/>
      </c>
      <c r="U63" s="40" t="str">
        <f aca="false">IF(OR($Q63="",$K63=0),"",$Q63/$K63)</f>
        <v/>
      </c>
      <c r="V63" s="35"/>
      <c r="W63" s="36" t="str">
        <f aca="false">IF(OR($Q63="",$V63=""),"",$Q63-$V63)</f>
        <v/>
      </c>
      <c r="X63" s="17" t="str">
        <f aca="false">IF($Q63="","",IF($Q63&gt;=$K63,"SI","NO"))</f>
        <v/>
      </c>
    </row>
    <row r="64" customFormat="false" ht="15" hidden="false" customHeight="false" outlineLevel="0" collapsed="false">
      <c r="A64" s="34"/>
      <c r="B64" s="34"/>
      <c r="C64" s="34"/>
      <c r="D64" s="34"/>
      <c r="E64" s="34"/>
      <c r="F64" s="34"/>
      <c r="G64" s="35"/>
      <c r="H64" s="35"/>
      <c r="I64" s="36" t="str">
        <f aca="false">IF($G64="","",$G64+IF($H64="",0,$H64))</f>
        <v/>
      </c>
      <c r="J64" s="36" t="str">
        <f aca="false">IF($I64="","",$I64*$H$3/100)</f>
        <v/>
      </c>
      <c r="K64" s="36" t="str">
        <f aca="false">IF($I64="","",$I64-$J64)</f>
        <v/>
      </c>
      <c r="L64" s="37"/>
      <c r="M64" s="37"/>
      <c r="N64" s="34"/>
      <c r="O64" s="38" t="str">
        <f aca="false">IF(OR($K64="",$N64="",$N64=0),"",$K64/$N64)</f>
        <v/>
      </c>
      <c r="P64" s="39" t="str">
        <f aca="false">IF(OR($M64="",$B$3=""),"",IF($J$3="mes_completo",(YEAR($B$3)-YEAR($M64))*12+(MONTH($B$3)-MONTH($M64))-IF(DAY($B$3)&lt;DAY($M64),1,0),($B$3-$M64)/365.25*12))</f>
        <v/>
      </c>
      <c r="Q64" s="36" t="str">
        <f aca="false">IF(OR($O64="",$P64=""),"",MIN($O64*$P64,$K64))</f>
        <v/>
      </c>
      <c r="R64" s="35"/>
      <c r="S64" s="36" t="str">
        <f aca="false">IF($Q64="","",$I64-$Q64)</f>
        <v/>
      </c>
      <c r="T64" s="36" t="str">
        <f aca="false">IF($Q64="","",$I64-$Q64-IF($R64="",0,$R64))</f>
        <v/>
      </c>
      <c r="U64" s="40" t="str">
        <f aca="false">IF(OR($Q64="",$K64=0),"",$Q64/$K64)</f>
        <v/>
      </c>
      <c r="V64" s="35"/>
      <c r="W64" s="36" t="str">
        <f aca="false">IF(OR($Q64="",$V64=""),"",$Q64-$V64)</f>
        <v/>
      </c>
      <c r="X64" s="17" t="str">
        <f aca="false">IF($Q64="","",IF($Q64&gt;=$K64,"SI","NO"))</f>
        <v/>
      </c>
    </row>
    <row r="65" customFormat="false" ht="15" hidden="false" customHeight="false" outlineLevel="0" collapsed="false">
      <c r="A65" s="34"/>
      <c r="B65" s="34"/>
      <c r="C65" s="34"/>
      <c r="D65" s="34"/>
      <c r="E65" s="34"/>
      <c r="F65" s="34"/>
      <c r="G65" s="35"/>
      <c r="H65" s="35"/>
      <c r="I65" s="36" t="str">
        <f aca="false">IF($G65="","",$G65+IF($H65="",0,$H65))</f>
        <v/>
      </c>
      <c r="J65" s="36" t="str">
        <f aca="false">IF($I65="","",$I65*$H$3/100)</f>
        <v/>
      </c>
      <c r="K65" s="36" t="str">
        <f aca="false">IF($I65="","",$I65-$J65)</f>
        <v/>
      </c>
      <c r="L65" s="37"/>
      <c r="M65" s="37"/>
      <c r="N65" s="34"/>
      <c r="O65" s="38" t="str">
        <f aca="false">IF(OR($K65="",$N65="",$N65=0),"",$K65/$N65)</f>
        <v/>
      </c>
      <c r="P65" s="39" t="str">
        <f aca="false">IF(OR($M65="",$B$3=""),"",IF($J$3="mes_completo",(YEAR($B$3)-YEAR($M65))*12+(MONTH($B$3)-MONTH($M65))-IF(DAY($B$3)&lt;DAY($M65),1,0),($B$3-$M65)/365.25*12))</f>
        <v/>
      </c>
      <c r="Q65" s="36" t="str">
        <f aca="false">IF(OR($O65="",$P65=""),"",MIN($O65*$P65,$K65))</f>
        <v/>
      </c>
      <c r="R65" s="35"/>
      <c r="S65" s="36" t="str">
        <f aca="false">IF($Q65="","",$I65-$Q65)</f>
        <v/>
      </c>
      <c r="T65" s="36" t="str">
        <f aca="false">IF($Q65="","",$I65-$Q65-IF($R65="",0,$R65))</f>
        <v/>
      </c>
      <c r="U65" s="40" t="str">
        <f aca="false">IF(OR($Q65="",$K65=0),"",$Q65/$K65)</f>
        <v/>
      </c>
      <c r="V65" s="35"/>
      <c r="W65" s="36" t="str">
        <f aca="false">IF(OR($Q65="",$V65=""),"",$Q65-$V65)</f>
        <v/>
      </c>
      <c r="X65" s="17" t="str">
        <f aca="false">IF($Q65="","",IF($Q65&gt;=$K65,"SI","NO"))</f>
        <v/>
      </c>
    </row>
    <row r="66" customFormat="false" ht="15" hidden="false" customHeight="false" outlineLevel="0" collapsed="false">
      <c r="A66" s="34"/>
      <c r="B66" s="34"/>
      <c r="C66" s="34"/>
      <c r="D66" s="34"/>
      <c r="E66" s="34"/>
      <c r="F66" s="34"/>
      <c r="G66" s="35"/>
      <c r="H66" s="35"/>
      <c r="I66" s="36" t="str">
        <f aca="false">IF($G66="","",$G66+IF($H66="",0,$H66))</f>
        <v/>
      </c>
      <c r="J66" s="36" t="str">
        <f aca="false">IF($I66="","",$I66*$H$3/100)</f>
        <v/>
      </c>
      <c r="K66" s="36" t="str">
        <f aca="false">IF($I66="","",$I66-$J66)</f>
        <v/>
      </c>
      <c r="L66" s="37"/>
      <c r="M66" s="37"/>
      <c r="N66" s="34"/>
      <c r="O66" s="38" t="str">
        <f aca="false">IF(OR($K66="",$N66="",$N66=0),"",$K66/$N66)</f>
        <v/>
      </c>
      <c r="P66" s="39" t="str">
        <f aca="false">IF(OR($M66="",$B$3=""),"",IF($J$3="mes_completo",(YEAR($B$3)-YEAR($M66))*12+(MONTH($B$3)-MONTH($M66))-IF(DAY($B$3)&lt;DAY($M66),1,0),($B$3-$M66)/365.25*12))</f>
        <v/>
      </c>
      <c r="Q66" s="36" t="str">
        <f aca="false">IF(OR($O66="",$P66=""),"",MIN($O66*$P66,$K66))</f>
        <v/>
      </c>
      <c r="R66" s="35"/>
      <c r="S66" s="36" t="str">
        <f aca="false">IF($Q66="","",$I66-$Q66)</f>
        <v/>
      </c>
      <c r="T66" s="36" t="str">
        <f aca="false">IF($Q66="","",$I66-$Q66-IF($R66="",0,$R66))</f>
        <v/>
      </c>
      <c r="U66" s="40" t="str">
        <f aca="false">IF(OR($Q66="",$K66=0),"",$Q66/$K66)</f>
        <v/>
      </c>
      <c r="V66" s="35"/>
      <c r="W66" s="36" t="str">
        <f aca="false">IF(OR($Q66="",$V66=""),"",$Q66-$V66)</f>
        <v/>
      </c>
      <c r="X66" s="17" t="str">
        <f aca="false">IF($Q66="","",IF($Q66&gt;=$K66,"SI","NO"))</f>
        <v/>
      </c>
    </row>
    <row r="67" customFormat="false" ht="15" hidden="false" customHeight="false" outlineLevel="0" collapsed="false">
      <c r="A67" s="34"/>
      <c r="B67" s="34"/>
      <c r="C67" s="34"/>
      <c r="D67" s="34"/>
      <c r="E67" s="34"/>
      <c r="F67" s="34"/>
      <c r="G67" s="35"/>
      <c r="H67" s="35"/>
      <c r="I67" s="36" t="str">
        <f aca="false">IF($G67="","",$G67+IF($H67="",0,$H67))</f>
        <v/>
      </c>
      <c r="J67" s="36" t="str">
        <f aca="false">IF($I67="","",$I67*$H$3/100)</f>
        <v/>
      </c>
      <c r="K67" s="36" t="str">
        <f aca="false">IF($I67="","",$I67-$J67)</f>
        <v/>
      </c>
      <c r="L67" s="37"/>
      <c r="M67" s="37"/>
      <c r="N67" s="34"/>
      <c r="O67" s="38" t="str">
        <f aca="false">IF(OR($K67="",$N67="",$N67=0),"",$K67/$N67)</f>
        <v/>
      </c>
      <c r="P67" s="39" t="str">
        <f aca="false">IF(OR($M67="",$B$3=""),"",IF($J$3="mes_completo",(YEAR($B$3)-YEAR($M67))*12+(MONTH($B$3)-MONTH($M67))-IF(DAY($B$3)&lt;DAY($M67),1,0),($B$3-$M67)/365.25*12))</f>
        <v/>
      </c>
      <c r="Q67" s="36" t="str">
        <f aca="false">IF(OR($O67="",$P67=""),"",MIN($O67*$P67,$K67))</f>
        <v/>
      </c>
      <c r="R67" s="35"/>
      <c r="S67" s="36" t="str">
        <f aca="false">IF($Q67="","",$I67-$Q67)</f>
        <v/>
      </c>
      <c r="T67" s="36" t="str">
        <f aca="false">IF($Q67="","",$I67-$Q67-IF($R67="",0,$R67))</f>
        <v/>
      </c>
      <c r="U67" s="40" t="str">
        <f aca="false">IF(OR($Q67="",$K67=0),"",$Q67/$K67)</f>
        <v/>
      </c>
      <c r="V67" s="35"/>
      <c r="W67" s="36" t="str">
        <f aca="false">IF(OR($Q67="",$V67=""),"",$Q67-$V67)</f>
        <v/>
      </c>
      <c r="X67" s="17" t="str">
        <f aca="false">IF($Q67="","",IF($Q67&gt;=$K67,"SI","NO"))</f>
        <v/>
      </c>
    </row>
    <row r="68" customFormat="false" ht="15" hidden="false" customHeight="false" outlineLevel="0" collapsed="false">
      <c r="A68" s="34"/>
      <c r="B68" s="34"/>
      <c r="C68" s="34"/>
      <c r="D68" s="34"/>
      <c r="E68" s="34"/>
      <c r="F68" s="34"/>
      <c r="G68" s="35"/>
      <c r="H68" s="35"/>
      <c r="I68" s="36" t="str">
        <f aca="false">IF($G68="","",$G68+IF($H68="",0,$H68))</f>
        <v/>
      </c>
      <c r="J68" s="36" t="str">
        <f aca="false">IF($I68="","",$I68*$H$3/100)</f>
        <v/>
      </c>
      <c r="K68" s="36" t="str">
        <f aca="false">IF($I68="","",$I68-$J68)</f>
        <v/>
      </c>
      <c r="L68" s="37"/>
      <c r="M68" s="37"/>
      <c r="N68" s="34"/>
      <c r="O68" s="38" t="str">
        <f aca="false">IF(OR($K68="",$N68="",$N68=0),"",$K68/$N68)</f>
        <v/>
      </c>
      <c r="P68" s="39" t="str">
        <f aca="false">IF(OR($M68="",$B$3=""),"",IF($J$3="mes_completo",(YEAR($B$3)-YEAR($M68))*12+(MONTH($B$3)-MONTH($M68))-IF(DAY($B$3)&lt;DAY($M68),1,0),($B$3-$M68)/365.25*12))</f>
        <v/>
      </c>
      <c r="Q68" s="36" t="str">
        <f aca="false">IF(OR($O68="",$P68=""),"",MIN($O68*$P68,$K68))</f>
        <v/>
      </c>
      <c r="R68" s="35"/>
      <c r="S68" s="36" t="str">
        <f aca="false">IF($Q68="","",$I68-$Q68)</f>
        <v/>
      </c>
      <c r="T68" s="36" t="str">
        <f aca="false">IF($Q68="","",$I68-$Q68-IF($R68="",0,$R68))</f>
        <v/>
      </c>
      <c r="U68" s="40" t="str">
        <f aca="false">IF(OR($Q68="",$K68=0),"",$Q68/$K68)</f>
        <v/>
      </c>
      <c r="V68" s="35"/>
      <c r="W68" s="36" t="str">
        <f aca="false">IF(OR($Q68="",$V68=""),"",$Q68-$V68)</f>
        <v/>
      </c>
      <c r="X68" s="17" t="str">
        <f aca="false">IF($Q68="","",IF($Q68&gt;=$K68,"SI","NO"))</f>
        <v/>
      </c>
    </row>
    <row r="69" customFormat="false" ht="15" hidden="false" customHeight="false" outlineLevel="0" collapsed="false">
      <c r="A69" s="34"/>
      <c r="B69" s="34"/>
      <c r="C69" s="34"/>
      <c r="D69" s="34"/>
      <c r="E69" s="34"/>
      <c r="F69" s="34"/>
      <c r="G69" s="35"/>
      <c r="H69" s="35"/>
      <c r="I69" s="36" t="str">
        <f aca="false">IF($G69="","",$G69+IF($H69="",0,$H69))</f>
        <v/>
      </c>
      <c r="J69" s="36" t="str">
        <f aca="false">IF($I69="","",$I69*$H$3/100)</f>
        <v/>
      </c>
      <c r="K69" s="36" t="str">
        <f aca="false">IF($I69="","",$I69-$J69)</f>
        <v/>
      </c>
      <c r="L69" s="37"/>
      <c r="M69" s="37"/>
      <c r="N69" s="34"/>
      <c r="O69" s="38" t="str">
        <f aca="false">IF(OR($K69="",$N69="",$N69=0),"",$K69/$N69)</f>
        <v/>
      </c>
      <c r="P69" s="39" t="str">
        <f aca="false">IF(OR($M69="",$B$3=""),"",IF($J$3="mes_completo",(YEAR($B$3)-YEAR($M69))*12+(MONTH($B$3)-MONTH($M69))-IF(DAY($B$3)&lt;DAY($M69),1,0),($B$3-$M69)/365.25*12))</f>
        <v/>
      </c>
      <c r="Q69" s="36" t="str">
        <f aca="false">IF(OR($O69="",$P69=""),"",MIN($O69*$P69,$K69))</f>
        <v/>
      </c>
      <c r="R69" s="35"/>
      <c r="S69" s="36" t="str">
        <f aca="false">IF($Q69="","",$I69-$Q69)</f>
        <v/>
      </c>
      <c r="T69" s="36" t="str">
        <f aca="false">IF($Q69="","",$I69-$Q69-IF($R69="",0,$R69))</f>
        <v/>
      </c>
      <c r="U69" s="40" t="str">
        <f aca="false">IF(OR($Q69="",$K69=0),"",$Q69/$K69)</f>
        <v/>
      </c>
      <c r="V69" s="35"/>
      <c r="W69" s="36" t="str">
        <f aca="false">IF(OR($Q69="",$V69=""),"",$Q69-$V69)</f>
        <v/>
      </c>
      <c r="X69" s="17" t="str">
        <f aca="false">IF($Q69="","",IF($Q69&gt;=$K69,"SI","NO"))</f>
        <v/>
      </c>
    </row>
    <row r="70" customFormat="false" ht="15" hidden="false" customHeight="false" outlineLevel="0" collapsed="false">
      <c r="A70" s="34"/>
      <c r="B70" s="34"/>
      <c r="C70" s="34"/>
      <c r="D70" s="34"/>
      <c r="E70" s="34"/>
      <c r="F70" s="34"/>
      <c r="G70" s="35"/>
      <c r="H70" s="35"/>
      <c r="I70" s="36" t="str">
        <f aca="false">IF($G70="","",$G70+IF($H70="",0,$H70))</f>
        <v/>
      </c>
      <c r="J70" s="36" t="str">
        <f aca="false">IF($I70="","",$I70*$H$3/100)</f>
        <v/>
      </c>
      <c r="K70" s="36" t="str">
        <f aca="false">IF($I70="","",$I70-$J70)</f>
        <v/>
      </c>
      <c r="L70" s="37"/>
      <c r="M70" s="37"/>
      <c r="N70" s="34"/>
      <c r="O70" s="38" t="str">
        <f aca="false">IF(OR($K70="",$N70="",$N70=0),"",$K70/$N70)</f>
        <v/>
      </c>
      <c r="P70" s="39" t="str">
        <f aca="false">IF(OR($M70="",$B$3=""),"",IF($J$3="mes_completo",(YEAR($B$3)-YEAR($M70))*12+(MONTH($B$3)-MONTH($M70))-IF(DAY($B$3)&lt;DAY($M70),1,0),($B$3-$M70)/365.25*12))</f>
        <v/>
      </c>
      <c r="Q70" s="36" t="str">
        <f aca="false">IF(OR($O70="",$P70=""),"",MIN($O70*$P70,$K70))</f>
        <v/>
      </c>
      <c r="R70" s="35"/>
      <c r="S70" s="36" t="str">
        <f aca="false">IF($Q70="","",$I70-$Q70)</f>
        <v/>
      </c>
      <c r="T70" s="36" t="str">
        <f aca="false">IF($Q70="","",$I70-$Q70-IF($R70="",0,$R70))</f>
        <v/>
      </c>
      <c r="U70" s="40" t="str">
        <f aca="false">IF(OR($Q70="",$K70=0),"",$Q70/$K70)</f>
        <v/>
      </c>
      <c r="V70" s="35"/>
      <c r="W70" s="36" t="str">
        <f aca="false">IF(OR($Q70="",$V70=""),"",$Q70-$V70)</f>
        <v/>
      </c>
      <c r="X70" s="17" t="str">
        <f aca="false">IF($Q70="","",IF($Q70&gt;=$K70,"SI","NO"))</f>
        <v/>
      </c>
    </row>
    <row r="71" customFormat="false" ht="15" hidden="false" customHeight="false" outlineLevel="0" collapsed="false">
      <c r="A71" s="34"/>
      <c r="B71" s="34"/>
      <c r="C71" s="34"/>
      <c r="D71" s="34"/>
      <c r="E71" s="34"/>
      <c r="F71" s="34"/>
      <c r="G71" s="35"/>
      <c r="H71" s="35"/>
      <c r="I71" s="36" t="str">
        <f aca="false">IF($G71="","",$G71+IF($H71="",0,$H71))</f>
        <v/>
      </c>
      <c r="J71" s="36" t="str">
        <f aca="false">IF($I71="","",$I71*$H$3/100)</f>
        <v/>
      </c>
      <c r="K71" s="36" t="str">
        <f aca="false">IF($I71="","",$I71-$J71)</f>
        <v/>
      </c>
      <c r="L71" s="37"/>
      <c r="M71" s="37"/>
      <c r="N71" s="34"/>
      <c r="O71" s="38" t="str">
        <f aca="false">IF(OR($K71="",$N71="",$N71=0),"",$K71/$N71)</f>
        <v/>
      </c>
      <c r="P71" s="39" t="str">
        <f aca="false">IF(OR($M71="",$B$3=""),"",IF($J$3="mes_completo",(YEAR($B$3)-YEAR($M71))*12+(MONTH($B$3)-MONTH($M71))-IF(DAY($B$3)&lt;DAY($M71),1,0),($B$3-$M71)/365.25*12))</f>
        <v/>
      </c>
      <c r="Q71" s="36" t="str">
        <f aca="false">IF(OR($O71="",$P71=""),"",MIN($O71*$P71,$K71))</f>
        <v/>
      </c>
      <c r="R71" s="35"/>
      <c r="S71" s="36" t="str">
        <f aca="false">IF($Q71="","",$I71-$Q71)</f>
        <v/>
      </c>
      <c r="T71" s="36" t="str">
        <f aca="false">IF($Q71="","",$I71-$Q71-IF($R71="",0,$R71))</f>
        <v/>
      </c>
      <c r="U71" s="40" t="str">
        <f aca="false">IF(OR($Q71="",$K71=0),"",$Q71/$K71)</f>
        <v/>
      </c>
      <c r="V71" s="35"/>
      <c r="W71" s="36" t="str">
        <f aca="false">IF(OR($Q71="",$V71=""),"",$Q71-$V71)</f>
        <v/>
      </c>
      <c r="X71" s="17" t="str">
        <f aca="false">IF($Q71="","",IF($Q71&gt;=$K71,"SI","NO"))</f>
        <v/>
      </c>
    </row>
    <row r="72" customFormat="false" ht="15" hidden="false" customHeight="false" outlineLevel="0" collapsed="false">
      <c r="A72" s="34"/>
      <c r="B72" s="34"/>
      <c r="C72" s="34"/>
      <c r="D72" s="34"/>
      <c r="E72" s="34"/>
      <c r="F72" s="34"/>
      <c r="G72" s="35"/>
      <c r="H72" s="35"/>
      <c r="I72" s="36" t="str">
        <f aca="false">IF($G72="","",$G72+IF($H72="",0,$H72))</f>
        <v/>
      </c>
      <c r="J72" s="36" t="str">
        <f aca="false">IF($I72="","",$I72*$H$3/100)</f>
        <v/>
      </c>
      <c r="K72" s="36" t="str">
        <f aca="false">IF($I72="","",$I72-$J72)</f>
        <v/>
      </c>
      <c r="L72" s="37"/>
      <c r="M72" s="37"/>
      <c r="N72" s="34"/>
      <c r="O72" s="38" t="str">
        <f aca="false">IF(OR($K72="",$N72="",$N72=0),"",$K72/$N72)</f>
        <v/>
      </c>
      <c r="P72" s="39" t="str">
        <f aca="false">IF(OR($M72="",$B$3=""),"",IF($J$3="mes_completo",(YEAR($B$3)-YEAR($M72))*12+(MONTH($B$3)-MONTH($M72))-IF(DAY($B$3)&lt;DAY($M72),1,0),($B$3-$M72)/365.25*12))</f>
        <v/>
      </c>
      <c r="Q72" s="36" t="str">
        <f aca="false">IF(OR($O72="",$P72=""),"",MIN($O72*$P72,$K72))</f>
        <v/>
      </c>
      <c r="R72" s="35"/>
      <c r="S72" s="36" t="str">
        <f aca="false">IF($Q72="","",$I72-$Q72)</f>
        <v/>
      </c>
      <c r="T72" s="36" t="str">
        <f aca="false">IF($Q72="","",$I72-$Q72-IF($R72="",0,$R72))</f>
        <v/>
      </c>
      <c r="U72" s="40" t="str">
        <f aca="false">IF(OR($Q72="",$K72=0),"",$Q72/$K72)</f>
        <v/>
      </c>
      <c r="V72" s="35"/>
      <c r="W72" s="36" t="str">
        <f aca="false">IF(OR($Q72="",$V72=""),"",$Q72-$V72)</f>
        <v/>
      </c>
      <c r="X72" s="17" t="str">
        <f aca="false">IF($Q72="","",IF($Q72&gt;=$K72,"SI","NO"))</f>
        <v/>
      </c>
    </row>
    <row r="73" customFormat="false" ht="15" hidden="false" customHeight="false" outlineLevel="0" collapsed="false">
      <c r="A73" s="34"/>
      <c r="B73" s="34"/>
      <c r="C73" s="34"/>
      <c r="D73" s="34"/>
      <c r="E73" s="34"/>
      <c r="F73" s="34"/>
      <c r="G73" s="35"/>
      <c r="H73" s="35"/>
      <c r="I73" s="36" t="str">
        <f aca="false">IF($G73="","",$G73+IF($H73="",0,$H73))</f>
        <v/>
      </c>
      <c r="J73" s="36" t="str">
        <f aca="false">IF($I73="","",$I73*$H$3/100)</f>
        <v/>
      </c>
      <c r="K73" s="36" t="str">
        <f aca="false">IF($I73="","",$I73-$J73)</f>
        <v/>
      </c>
      <c r="L73" s="37"/>
      <c r="M73" s="37"/>
      <c r="N73" s="34"/>
      <c r="O73" s="38" t="str">
        <f aca="false">IF(OR($K73="",$N73="",$N73=0),"",$K73/$N73)</f>
        <v/>
      </c>
      <c r="P73" s="39" t="str">
        <f aca="false">IF(OR($M73="",$B$3=""),"",IF($J$3="mes_completo",(YEAR($B$3)-YEAR($M73))*12+(MONTH($B$3)-MONTH($M73))-IF(DAY($B$3)&lt;DAY($M73),1,0),($B$3-$M73)/365.25*12))</f>
        <v/>
      </c>
      <c r="Q73" s="36" t="str">
        <f aca="false">IF(OR($O73="",$P73=""),"",MIN($O73*$P73,$K73))</f>
        <v/>
      </c>
      <c r="R73" s="35"/>
      <c r="S73" s="36" t="str">
        <f aca="false">IF($Q73="","",$I73-$Q73)</f>
        <v/>
      </c>
      <c r="T73" s="36" t="str">
        <f aca="false">IF($Q73="","",$I73-$Q73-IF($R73="",0,$R73))</f>
        <v/>
      </c>
      <c r="U73" s="40" t="str">
        <f aca="false">IF(OR($Q73="",$K73=0),"",$Q73/$K73)</f>
        <v/>
      </c>
      <c r="V73" s="35"/>
      <c r="W73" s="36" t="str">
        <f aca="false">IF(OR($Q73="",$V73=""),"",$Q73-$V73)</f>
        <v/>
      </c>
      <c r="X73" s="17" t="str">
        <f aca="false">IF($Q73="","",IF($Q73&gt;=$K73,"SI","NO"))</f>
        <v/>
      </c>
    </row>
    <row r="74" customFormat="false" ht="15" hidden="false" customHeight="false" outlineLevel="0" collapsed="false">
      <c r="A74" s="34"/>
      <c r="B74" s="34"/>
      <c r="C74" s="34"/>
      <c r="D74" s="34"/>
      <c r="E74" s="34"/>
      <c r="F74" s="34"/>
      <c r="G74" s="35"/>
      <c r="H74" s="35"/>
      <c r="I74" s="36" t="str">
        <f aca="false">IF($G74="","",$G74+IF($H74="",0,$H74))</f>
        <v/>
      </c>
      <c r="J74" s="36" t="str">
        <f aca="false">IF($I74="","",$I74*$H$3/100)</f>
        <v/>
      </c>
      <c r="K74" s="36" t="str">
        <f aca="false">IF($I74="","",$I74-$J74)</f>
        <v/>
      </c>
      <c r="L74" s="37"/>
      <c r="M74" s="37"/>
      <c r="N74" s="34"/>
      <c r="O74" s="38" t="str">
        <f aca="false">IF(OR($K74="",$N74="",$N74=0),"",$K74/$N74)</f>
        <v/>
      </c>
      <c r="P74" s="39" t="str">
        <f aca="false">IF(OR($M74="",$B$3=""),"",IF($J$3="mes_completo",(YEAR($B$3)-YEAR($M74))*12+(MONTH($B$3)-MONTH($M74))-IF(DAY($B$3)&lt;DAY($M74),1,0),($B$3-$M74)/365.25*12))</f>
        <v/>
      </c>
      <c r="Q74" s="36" t="str">
        <f aca="false">IF(OR($O74="",$P74=""),"",MIN($O74*$P74,$K74))</f>
        <v/>
      </c>
      <c r="R74" s="35"/>
      <c r="S74" s="36" t="str">
        <f aca="false">IF($Q74="","",$I74-$Q74)</f>
        <v/>
      </c>
      <c r="T74" s="36" t="str">
        <f aca="false">IF($Q74="","",$I74-$Q74-IF($R74="",0,$R74))</f>
        <v/>
      </c>
      <c r="U74" s="40" t="str">
        <f aca="false">IF(OR($Q74="",$K74=0),"",$Q74/$K74)</f>
        <v/>
      </c>
      <c r="V74" s="35"/>
      <c r="W74" s="36" t="str">
        <f aca="false">IF(OR($Q74="",$V74=""),"",$Q74-$V74)</f>
        <v/>
      </c>
      <c r="X74" s="17" t="str">
        <f aca="false">IF($Q74="","",IF($Q74&gt;=$K74,"SI","NO"))</f>
        <v/>
      </c>
    </row>
    <row r="75" customFormat="false" ht="15" hidden="false" customHeight="false" outlineLevel="0" collapsed="false">
      <c r="A75" s="34"/>
      <c r="B75" s="34"/>
      <c r="C75" s="34"/>
      <c r="D75" s="34"/>
      <c r="E75" s="34"/>
      <c r="F75" s="34"/>
      <c r="G75" s="35"/>
      <c r="H75" s="35"/>
      <c r="I75" s="36" t="str">
        <f aca="false">IF($G75="","",$G75+IF($H75="",0,$H75))</f>
        <v/>
      </c>
      <c r="J75" s="36" t="str">
        <f aca="false">IF($I75="","",$I75*$H$3/100)</f>
        <v/>
      </c>
      <c r="K75" s="36" t="str">
        <f aca="false">IF($I75="","",$I75-$J75)</f>
        <v/>
      </c>
      <c r="L75" s="37"/>
      <c r="M75" s="37"/>
      <c r="N75" s="34"/>
      <c r="O75" s="38" t="str">
        <f aca="false">IF(OR($K75="",$N75="",$N75=0),"",$K75/$N75)</f>
        <v/>
      </c>
      <c r="P75" s="39" t="str">
        <f aca="false">IF(OR($M75="",$B$3=""),"",IF($J$3="mes_completo",(YEAR($B$3)-YEAR($M75))*12+(MONTH($B$3)-MONTH($M75))-IF(DAY($B$3)&lt;DAY($M75),1,0),($B$3-$M75)/365.25*12))</f>
        <v/>
      </c>
      <c r="Q75" s="36" t="str">
        <f aca="false">IF(OR($O75="",$P75=""),"",MIN($O75*$P75,$K75))</f>
        <v/>
      </c>
      <c r="R75" s="35"/>
      <c r="S75" s="36" t="str">
        <f aca="false">IF($Q75="","",$I75-$Q75)</f>
        <v/>
      </c>
      <c r="T75" s="36" t="str">
        <f aca="false">IF($Q75="","",$I75-$Q75-IF($R75="",0,$R75))</f>
        <v/>
      </c>
      <c r="U75" s="40" t="str">
        <f aca="false">IF(OR($Q75="",$K75=0),"",$Q75/$K75)</f>
        <v/>
      </c>
      <c r="V75" s="35"/>
      <c r="W75" s="36" t="str">
        <f aca="false">IF(OR($Q75="",$V75=""),"",$Q75-$V75)</f>
        <v/>
      </c>
      <c r="X75" s="17" t="str">
        <f aca="false">IF($Q75="","",IF($Q75&gt;=$K75,"SI","NO"))</f>
        <v/>
      </c>
    </row>
    <row r="76" customFormat="false" ht="15" hidden="false" customHeight="false" outlineLevel="0" collapsed="false">
      <c r="A76" s="34"/>
      <c r="B76" s="34"/>
      <c r="C76" s="34"/>
      <c r="D76" s="34"/>
      <c r="E76" s="34"/>
      <c r="F76" s="34"/>
      <c r="G76" s="35"/>
      <c r="H76" s="35"/>
      <c r="I76" s="36" t="str">
        <f aca="false">IF($G76="","",$G76+IF($H76="",0,$H76))</f>
        <v/>
      </c>
      <c r="J76" s="36" t="str">
        <f aca="false">IF($I76="","",$I76*$H$3/100)</f>
        <v/>
      </c>
      <c r="K76" s="36" t="str">
        <f aca="false">IF($I76="","",$I76-$J76)</f>
        <v/>
      </c>
      <c r="L76" s="37"/>
      <c r="M76" s="37"/>
      <c r="N76" s="34"/>
      <c r="O76" s="38" t="str">
        <f aca="false">IF(OR($K76="",$N76="",$N76=0),"",$K76/$N76)</f>
        <v/>
      </c>
      <c r="P76" s="39" t="str">
        <f aca="false">IF(OR($M76="",$B$3=""),"",IF($J$3="mes_completo",(YEAR($B$3)-YEAR($M76))*12+(MONTH($B$3)-MONTH($M76))-IF(DAY($B$3)&lt;DAY($M76),1,0),($B$3-$M76)/365.25*12))</f>
        <v/>
      </c>
      <c r="Q76" s="36" t="str">
        <f aca="false">IF(OR($O76="",$P76=""),"",MIN($O76*$P76,$K76))</f>
        <v/>
      </c>
      <c r="R76" s="35"/>
      <c r="S76" s="36" t="str">
        <f aca="false">IF($Q76="","",$I76-$Q76)</f>
        <v/>
      </c>
      <c r="T76" s="36" t="str">
        <f aca="false">IF($Q76="","",$I76-$Q76-IF($R76="",0,$R76))</f>
        <v/>
      </c>
      <c r="U76" s="40" t="str">
        <f aca="false">IF(OR($Q76="",$K76=0),"",$Q76/$K76)</f>
        <v/>
      </c>
      <c r="V76" s="35"/>
      <c r="W76" s="36" t="str">
        <f aca="false">IF(OR($Q76="",$V76=""),"",$Q76-$V76)</f>
        <v/>
      </c>
      <c r="X76" s="17" t="str">
        <f aca="false">IF($Q76="","",IF($Q76&gt;=$K76,"SI","NO"))</f>
        <v/>
      </c>
    </row>
    <row r="77" customFormat="false" ht="15" hidden="false" customHeight="false" outlineLevel="0" collapsed="false">
      <c r="A77" s="34"/>
      <c r="B77" s="34"/>
      <c r="C77" s="34"/>
      <c r="D77" s="34"/>
      <c r="E77" s="34"/>
      <c r="F77" s="34"/>
      <c r="G77" s="35"/>
      <c r="H77" s="35"/>
      <c r="I77" s="36" t="str">
        <f aca="false">IF($G77="","",$G77+IF($H77="",0,$H77))</f>
        <v/>
      </c>
      <c r="J77" s="36" t="str">
        <f aca="false">IF($I77="","",$I77*$H$3/100)</f>
        <v/>
      </c>
      <c r="K77" s="36" t="str">
        <f aca="false">IF($I77="","",$I77-$J77)</f>
        <v/>
      </c>
      <c r="L77" s="37"/>
      <c r="M77" s="37"/>
      <c r="N77" s="34"/>
      <c r="O77" s="38" t="str">
        <f aca="false">IF(OR($K77="",$N77="",$N77=0),"",$K77/$N77)</f>
        <v/>
      </c>
      <c r="P77" s="39" t="str">
        <f aca="false">IF(OR($M77="",$B$3=""),"",IF($J$3="mes_completo",(YEAR($B$3)-YEAR($M77))*12+(MONTH($B$3)-MONTH($M77))-IF(DAY($B$3)&lt;DAY($M77),1,0),($B$3-$M77)/365.25*12))</f>
        <v/>
      </c>
      <c r="Q77" s="36" t="str">
        <f aca="false">IF(OR($O77="",$P77=""),"",MIN($O77*$P77,$K77))</f>
        <v/>
      </c>
      <c r="R77" s="35"/>
      <c r="S77" s="36" t="str">
        <f aca="false">IF($Q77="","",$I77-$Q77)</f>
        <v/>
      </c>
      <c r="T77" s="36" t="str">
        <f aca="false">IF($Q77="","",$I77-$Q77-IF($R77="",0,$R77))</f>
        <v/>
      </c>
      <c r="U77" s="40" t="str">
        <f aca="false">IF(OR($Q77="",$K77=0),"",$Q77/$K77)</f>
        <v/>
      </c>
      <c r="V77" s="35"/>
      <c r="W77" s="36" t="str">
        <f aca="false">IF(OR($Q77="",$V77=""),"",$Q77-$V77)</f>
        <v/>
      </c>
      <c r="X77" s="17" t="str">
        <f aca="false">IF($Q77="","",IF($Q77&gt;=$K77,"SI","NO"))</f>
        <v/>
      </c>
    </row>
    <row r="78" customFormat="false" ht="15" hidden="false" customHeight="false" outlineLevel="0" collapsed="false">
      <c r="A78" s="34"/>
      <c r="B78" s="34"/>
      <c r="C78" s="34"/>
      <c r="D78" s="34"/>
      <c r="E78" s="34"/>
      <c r="F78" s="34"/>
      <c r="G78" s="35"/>
      <c r="H78" s="35"/>
      <c r="I78" s="36" t="str">
        <f aca="false">IF($G78="","",$G78+IF($H78="",0,$H78))</f>
        <v/>
      </c>
      <c r="J78" s="36" t="str">
        <f aca="false">IF($I78="","",$I78*$H$3/100)</f>
        <v/>
      </c>
      <c r="K78" s="36" t="str">
        <f aca="false">IF($I78="","",$I78-$J78)</f>
        <v/>
      </c>
      <c r="L78" s="37"/>
      <c r="M78" s="37"/>
      <c r="N78" s="34"/>
      <c r="O78" s="38" t="str">
        <f aca="false">IF(OR($K78="",$N78="",$N78=0),"",$K78/$N78)</f>
        <v/>
      </c>
      <c r="P78" s="39" t="str">
        <f aca="false">IF(OR($M78="",$B$3=""),"",IF($J$3="mes_completo",(YEAR($B$3)-YEAR($M78))*12+(MONTH($B$3)-MONTH($M78))-IF(DAY($B$3)&lt;DAY($M78),1,0),($B$3-$M78)/365.25*12))</f>
        <v/>
      </c>
      <c r="Q78" s="36" t="str">
        <f aca="false">IF(OR($O78="",$P78=""),"",MIN($O78*$P78,$K78))</f>
        <v/>
      </c>
      <c r="R78" s="35"/>
      <c r="S78" s="36" t="str">
        <f aca="false">IF($Q78="","",$I78-$Q78)</f>
        <v/>
      </c>
      <c r="T78" s="36" t="str">
        <f aca="false">IF($Q78="","",$I78-$Q78-IF($R78="",0,$R78))</f>
        <v/>
      </c>
      <c r="U78" s="40" t="str">
        <f aca="false">IF(OR($Q78="",$K78=0),"",$Q78/$K78)</f>
        <v/>
      </c>
      <c r="V78" s="35"/>
      <c r="W78" s="36" t="str">
        <f aca="false">IF(OR($Q78="",$V78=""),"",$Q78-$V78)</f>
        <v/>
      </c>
      <c r="X78" s="17" t="str">
        <f aca="false">IF($Q78="","",IF($Q78&gt;=$K78,"SI","NO"))</f>
        <v/>
      </c>
    </row>
    <row r="79" customFormat="false" ht="15" hidden="false" customHeight="false" outlineLevel="0" collapsed="false">
      <c r="A79" s="34"/>
      <c r="B79" s="34"/>
      <c r="C79" s="34"/>
      <c r="D79" s="34"/>
      <c r="E79" s="34"/>
      <c r="F79" s="34"/>
      <c r="G79" s="35"/>
      <c r="H79" s="35"/>
      <c r="I79" s="36" t="str">
        <f aca="false">IF($G79="","",$G79+IF($H79="",0,$H79))</f>
        <v/>
      </c>
      <c r="J79" s="36" t="str">
        <f aca="false">IF($I79="","",$I79*$H$3/100)</f>
        <v/>
      </c>
      <c r="K79" s="36" t="str">
        <f aca="false">IF($I79="","",$I79-$J79)</f>
        <v/>
      </c>
      <c r="L79" s="37"/>
      <c r="M79" s="37"/>
      <c r="N79" s="34"/>
      <c r="O79" s="38" t="str">
        <f aca="false">IF(OR($K79="",$N79="",$N79=0),"",$K79/$N79)</f>
        <v/>
      </c>
      <c r="P79" s="39" t="str">
        <f aca="false">IF(OR($M79="",$B$3=""),"",IF($J$3="mes_completo",(YEAR($B$3)-YEAR($M79))*12+(MONTH($B$3)-MONTH($M79))-IF(DAY($B$3)&lt;DAY($M79),1,0),($B$3-$M79)/365.25*12))</f>
        <v/>
      </c>
      <c r="Q79" s="36" t="str">
        <f aca="false">IF(OR($O79="",$P79=""),"",MIN($O79*$P79,$K79))</f>
        <v/>
      </c>
      <c r="R79" s="35"/>
      <c r="S79" s="36" t="str">
        <f aca="false">IF($Q79="","",$I79-$Q79)</f>
        <v/>
      </c>
      <c r="T79" s="36" t="str">
        <f aca="false">IF($Q79="","",$I79-$Q79-IF($R79="",0,$R79))</f>
        <v/>
      </c>
      <c r="U79" s="40" t="str">
        <f aca="false">IF(OR($Q79="",$K79=0),"",$Q79/$K79)</f>
        <v/>
      </c>
      <c r="V79" s="35"/>
      <c r="W79" s="36" t="str">
        <f aca="false">IF(OR($Q79="",$V79=""),"",$Q79-$V79)</f>
        <v/>
      </c>
      <c r="X79" s="17" t="str">
        <f aca="false">IF($Q79="","",IF($Q79&gt;=$K79,"SI","NO"))</f>
        <v/>
      </c>
    </row>
    <row r="80" customFormat="false" ht="15" hidden="false" customHeight="false" outlineLevel="0" collapsed="false">
      <c r="A80" s="34"/>
      <c r="B80" s="34"/>
      <c r="C80" s="34"/>
      <c r="D80" s="34"/>
      <c r="E80" s="34"/>
      <c r="F80" s="34"/>
      <c r="G80" s="35"/>
      <c r="H80" s="35"/>
      <c r="I80" s="36" t="str">
        <f aca="false">IF($G80="","",$G80+IF($H80="",0,$H80))</f>
        <v/>
      </c>
      <c r="J80" s="36" t="str">
        <f aca="false">IF($I80="","",$I80*$H$3/100)</f>
        <v/>
      </c>
      <c r="K80" s="36" t="str">
        <f aca="false">IF($I80="","",$I80-$J80)</f>
        <v/>
      </c>
      <c r="L80" s="37"/>
      <c r="M80" s="37"/>
      <c r="N80" s="34"/>
      <c r="O80" s="38" t="str">
        <f aca="false">IF(OR($K80="",$N80="",$N80=0),"",$K80/$N80)</f>
        <v/>
      </c>
      <c r="P80" s="39" t="str">
        <f aca="false">IF(OR($M80="",$B$3=""),"",IF($J$3="mes_completo",(YEAR($B$3)-YEAR($M80))*12+(MONTH($B$3)-MONTH($M80))-IF(DAY($B$3)&lt;DAY($M80),1,0),($B$3-$M80)/365.25*12))</f>
        <v/>
      </c>
      <c r="Q80" s="36" t="str">
        <f aca="false">IF(OR($O80="",$P80=""),"",MIN($O80*$P80,$K80))</f>
        <v/>
      </c>
      <c r="R80" s="35"/>
      <c r="S80" s="36" t="str">
        <f aca="false">IF($Q80="","",$I80-$Q80)</f>
        <v/>
      </c>
      <c r="T80" s="36" t="str">
        <f aca="false">IF($Q80="","",$I80-$Q80-IF($R80="",0,$R80))</f>
        <v/>
      </c>
      <c r="U80" s="40" t="str">
        <f aca="false">IF(OR($Q80="",$K80=0),"",$Q80/$K80)</f>
        <v/>
      </c>
      <c r="V80" s="35"/>
      <c r="W80" s="36" t="str">
        <f aca="false">IF(OR($Q80="",$V80=""),"",$Q80-$V80)</f>
        <v/>
      </c>
      <c r="X80" s="17" t="str">
        <f aca="false">IF($Q80="","",IF($Q80&gt;=$K80,"SI","NO"))</f>
        <v/>
      </c>
    </row>
    <row r="81" customFormat="false" ht="15" hidden="false" customHeight="false" outlineLevel="0" collapsed="false">
      <c r="A81" s="34"/>
      <c r="B81" s="34"/>
      <c r="C81" s="34"/>
      <c r="D81" s="34"/>
      <c r="E81" s="34"/>
      <c r="F81" s="34"/>
      <c r="G81" s="35"/>
      <c r="H81" s="35"/>
      <c r="I81" s="36" t="str">
        <f aca="false">IF($G81="","",$G81+IF($H81="",0,$H81))</f>
        <v/>
      </c>
      <c r="J81" s="36" t="str">
        <f aca="false">IF($I81="","",$I81*$H$3/100)</f>
        <v/>
      </c>
      <c r="K81" s="36" t="str">
        <f aca="false">IF($I81="","",$I81-$J81)</f>
        <v/>
      </c>
      <c r="L81" s="37"/>
      <c r="M81" s="37"/>
      <c r="N81" s="34"/>
      <c r="O81" s="38" t="str">
        <f aca="false">IF(OR($K81="",$N81="",$N81=0),"",$K81/$N81)</f>
        <v/>
      </c>
      <c r="P81" s="39" t="str">
        <f aca="false">IF(OR($M81="",$B$3=""),"",IF($J$3="mes_completo",(YEAR($B$3)-YEAR($M81))*12+(MONTH($B$3)-MONTH($M81))-IF(DAY($B$3)&lt;DAY($M81),1,0),($B$3-$M81)/365.25*12))</f>
        <v/>
      </c>
      <c r="Q81" s="36" t="str">
        <f aca="false">IF(OR($O81="",$P81=""),"",MIN($O81*$P81,$K81))</f>
        <v/>
      </c>
      <c r="R81" s="35"/>
      <c r="S81" s="36" t="str">
        <f aca="false">IF($Q81="","",$I81-$Q81)</f>
        <v/>
      </c>
      <c r="T81" s="36" t="str">
        <f aca="false">IF($Q81="","",$I81-$Q81-IF($R81="",0,$R81))</f>
        <v/>
      </c>
      <c r="U81" s="40" t="str">
        <f aca="false">IF(OR($Q81="",$K81=0),"",$Q81/$K81)</f>
        <v/>
      </c>
      <c r="V81" s="35"/>
      <c r="W81" s="36" t="str">
        <f aca="false">IF(OR($Q81="",$V81=""),"",$Q81-$V81)</f>
        <v/>
      </c>
      <c r="X81" s="17" t="str">
        <f aca="false">IF($Q81="","",IF($Q81&gt;=$K81,"SI","NO"))</f>
        <v/>
      </c>
    </row>
    <row r="82" customFormat="false" ht="15" hidden="false" customHeight="false" outlineLevel="0" collapsed="false">
      <c r="A82" s="34"/>
      <c r="B82" s="34"/>
      <c r="C82" s="34"/>
      <c r="D82" s="34"/>
      <c r="E82" s="34"/>
      <c r="F82" s="34"/>
      <c r="G82" s="35"/>
      <c r="H82" s="35"/>
      <c r="I82" s="36" t="str">
        <f aca="false">IF($G82="","",$G82+IF($H82="",0,$H82))</f>
        <v/>
      </c>
      <c r="J82" s="36" t="str">
        <f aca="false">IF($I82="","",$I82*$H$3/100)</f>
        <v/>
      </c>
      <c r="K82" s="36" t="str">
        <f aca="false">IF($I82="","",$I82-$J82)</f>
        <v/>
      </c>
      <c r="L82" s="37"/>
      <c r="M82" s="37"/>
      <c r="N82" s="34"/>
      <c r="O82" s="38" t="str">
        <f aca="false">IF(OR($K82="",$N82="",$N82=0),"",$K82/$N82)</f>
        <v/>
      </c>
      <c r="P82" s="39" t="str">
        <f aca="false">IF(OR($M82="",$B$3=""),"",IF($J$3="mes_completo",(YEAR($B$3)-YEAR($M82))*12+(MONTH($B$3)-MONTH($M82))-IF(DAY($B$3)&lt;DAY($M82),1,0),($B$3-$M82)/365.25*12))</f>
        <v/>
      </c>
      <c r="Q82" s="36" t="str">
        <f aca="false">IF(OR($O82="",$P82=""),"",MIN($O82*$P82,$K82))</f>
        <v/>
      </c>
      <c r="R82" s="35"/>
      <c r="S82" s="36" t="str">
        <f aca="false">IF($Q82="","",$I82-$Q82)</f>
        <v/>
      </c>
      <c r="T82" s="36" t="str">
        <f aca="false">IF($Q82="","",$I82-$Q82-IF($R82="",0,$R82))</f>
        <v/>
      </c>
      <c r="U82" s="40" t="str">
        <f aca="false">IF(OR($Q82="",$K82=0),"",$Q82/$K82)</f>
        <v/>
      </c>
      <c r="V82" s="35"/>
      <c r="W82" s="36" t="str">
        <f aca="false">IF(OR($Q82="",$V82=""),"",$Q82-$V82)</f>
        <v/>
      </c>
      <c r="X82" s="17" t="str">
        <f aca="false">IF($Q82="","",IF($Q82&gt;=$K82,"SI","NO"))</f>
        <v/>
      </c>
    </row>
    <row r="83" customFormat="false" ht="15" hidden="false" customHeight="false" outlineLevel="0" collapsed="false">
      <c r="A83" s="34"/>
      <c r="B83" s="34"/>
      <c r="C83" s="34"/>
      <c r="D83" s="34"/>
      <c r="E83" s="34"/>
      <c r="F83" s="34"/>
      <c r="G83" s="35"/>
      <c r="H83" s="35"/>
      <c r="I83" s="36" t="str">
        <f aca="false">IF($G83="","",$G83+IF($H83="",0,$H83))</f>
        <v/>
      </c>
      <c r="J83" s="36" t="str">
        <f aca="false">IF($I83="","",$I83*$H$3/100)</f>
        <v/>
      </c>
      <c r="K83" s="36" t="str">
        <f aca="false">IF($I83="","",$I83-$J83)</f>
        <v/>
      </c>
      <c r="L83" s="37"/>
      <c r="M83" s="37"/>
      <c r="N83" s="34"/>
      <c r="O83" s="38" t="str">
        <f aca="false">IF(OR($K83="",$N83="",$N83=0),"",$K83/$N83)</f>
        <v/>
      </c>
      <c r="P83" s="39" t="str">
        <f aca="false">IF(OR($M83="",$B$3=""),"",IF($J$3="mes_completo",(YEAR($B$3)-YEAR($M83))*12+(MONTH($B$3)-MONTH($M83))-IF(DAY($B$3)&lt;DAY($M83),1,0),($B$3-$M83)/365.25*12))</f>
        <v/>
      </c>
      <c r="Q83" s="36" t="str">
        <f aca="false">IF(OR($O83="",$P83=""),"",MIN($O83*$P83,$K83))</f>
        <v/>
      </c>
      <c r="R83" s="35"/>
      <c r="S83" s="36" t="str">
        <f aca="false">IF($Q83="","",$I83-$Q83)</f>
        <v/>
      </c>
      <c r="T83" s="36" t="str">
        <f aca="false">IF($Q83="","",$I83-$Q83-IF($R83="",0,$R83))</f>
        <v/>
      </c>
      <c r="U83" s="40" t="str">
        <f aca="false">IF(OR($Q83="",$K83=0),"",$Q83/$K83)</f>
        <v/>
      </c>
      <c r="V83" s="35"/>
      <c r="W83" s="36" t="str">
        <f aca="false">IF(OR($Q83="",$V83=""),"",$Q83-$V83)</f>
        <v/>
      </c>
      <c r="X83" s="17" t="str">
        <f aca="false">IF($Q83="","",IF($Q83&gt;=$K83,"SI","NO"))</f>
        <v/>
      </c>
    </row>
    <row r="84" customFormat="false" ht="15" hidden="false" customHeight="false" outlineLevel="0" collapsed="false">
      <c r="A84" s="34"/>
      <c r="B84" s="34"/>
      <c r="C84" s="34"/>
      <c r="D84" s="34"/>
      <c r="E84" s="34"/>
      <c r="F84" s="34"/>
      <c r="G84" s="35"/>
      <c r="H84" s="35"/>
      <c r="I84" s="36" t="str">
        <f aca="false">IF($G84="","",$G84+IF($H84="",0,$H84))</f>
        <v/>
      </c>
      <c r="J84" s="36" t="str">
        <f aca="false">IF($I84="","",$I84*$H$3/100)</f>
        <v/>
      </c>
      <c r="K84" s="36" t="str">
        <f aca="false">IF($I84="","",$I84-$J84)</f>
        <v/>
      </c>
      <c r="L84" s="37"/>
      <c r="M84" s="37"/>
      <c r="N84" s="34"/>
      <c r="O84" s="38" t="str">
        <f aca="false">IF(OR($K84="",$N84="",$N84=0),"",$K84/$N84)</f>
        <v/>
      </c>
      <c r="P84" s="39" t="str">
        <f aca="false">IF(OR($M84="",$B$3=""),"",IF($J$3="mes_completo",(YEAR($B$3)-YEAR($M84))*12+(MONTH($B$3)-MONTH($M84))-IF(DAY($B$3)&lt;DAY($M84),1,0),($B$3-$M84)/365.25*12))</f>
        <v/>
      </c>
      <c r="Q84" s="36" t="str">
        <f aca="false">IF(OR($O84="",$P84=""),"",MIN($O84*$P84,$K84))</f>
        <v/>
      </c>
      <c r="R84" s="35"/>
      <c r="S84" s="36" t="str">
        <f aca="false">IF($Q84="","",$I84-$Q84)</f>
        <v/>
      </c>
      <c r="T84" s="36" t="str">
        <f aca="false">IF($Q84="","",$I84-$Q84-IF($R84="",0,$R84))</f>
        <v/>
      </c>
      <c r="U84" s="40" t="str">
        <f aca="false">IF(OR($Q84="",$K84=0),"",$Q84/$K84)</f>
        <v/>
      </c>
      <c r="V84" s="35"/>
      <c r="W84" s="36" t="str">
        <f aca="false">IF(OR($Q84="",$V84=""),"",$Q84-$V84)</f>
        <v/>
      </c>
      <c r="X84" s="17" t="str">
        <f aca="false">IF($Q84="","",IF($Q84&gt;=$K84,"SI","NO"))</f>
        <v/>
      </c>
    </row>
    <row r="85" customFormat="false" ht="15" hidden="false" customHeight="false" outlineLevel="0" collapsed="false">
      <c r="A85" s="34"/>
      <c r="B85" s="34"/>
      <c r="C85" s="34"/>
      <c r="D85" s="34"/>
      <c r="E85" s="34"/>
      <c r="F85" s="34"/>
      <c r="G85" s="35"/>
      <c r="H85" s="35"/>
      <c r="I85" s="36" t="str">
        <f aca="false">IF($G85="","",$G85+IF($H85="",0,$H85))</f>
        <v/>
      </c>
      <c r="J85" s="36" t="str">
        <f aca="false">IF($I85="","",$I85*$H$3/100)</f>
        <v/>
      </c>
      <c r="K85" s="36" t="str">
        <f aca="false">IF($I85="","",$I85-$J85)</f>
        <v/>
      </c>
      <c r="L85" s="37"/>
      <c r="M85" s="37"/>
      <c r="N85" s="34"/>
      <c r="O85" s="38" t="str">
        <f aca="false">IF(OR($K85="",$N85="",$N85=0),"",$K85/$N85)</f>
        <v/>
      </c>
      <c r="P85" s="39" t="str">
        <f aca="false">IF(OR($M85="",$B$3=""),"",IF($J$3="mes_completo",(YEAR($B$3)-YEAR($M85))*12+(MONTH($B$3)-MONTH($M85))-IF(DAY($B$3)&lt;DAY($M85),1,0),($B$3-$M85)/365.25*12))</f>
        <v/>
      </c>
      <c r="Q85" s="36" t="str">
        <f aca="false">IF(OR($O85="",$P85=""),"",MIN($O85*$P85,$K85))</f>
        <v/>
      </c>
      <c r="R85" s="35"/>
      <c r="S85" s="36" t="str">
        <f aca="false">IF($Q85="","",$I85-$Q85)</f>
        <v/>
      </c>
      <c r="T85" s="36" t="str">
        <f aca="false">IF($Q85="","",$I85-$Q85-IF($R85="",0,$R85))</f>
        <v/>
      </c>
      <c r="U85" s="40" t="str">
        <f aca="false">IF(OR($Q85="",$K85=0),"",$Q85/$K85)</f>
        <v/>
      </c>
      <c r="V85" s="35"/>
      <c r="W85" s="36" t="str">
        <f aca="false">IF(OR($Q85="",$V85=""),"",$Q85-$V85)</f>
        <v/>
      </c>
      <c r="X85" s="17" t="str">
        <f aca="false">IF($Q85="","",IF($Q85&gt;=$K85,"SI","NO"))</f>
        <v/>
      </c>
    </row>
    <row r="86" customFormat="false" ht="15" hidden="false" customHeight="false" outlineLevel="0" collapsed="false">
      <c r="A86" s="34"/>
      <c r="B86" s="34"/>
      <c r="C86" s="34"/>
      <c r="D86" s="34"/>
      <c r="E86" s="34"/>
      <c r="F86" s="34"/>
      <c r="G86" s="35"/>
      <c r="H86" s="35"/>
      <c r="I86" s="36" t="str">
        <f aca="false">IF($G86="","",$G86+IF($H86="",0,$H86))</f>
        <v/>
      </c>
      <c r="J86" s="36" t="str">
        <f aca="false">IF($I86="","",$I86*$H$3/100)</f>
        <v/>
      </c>
      <c r="K86" s="36" t="str">
        <f aca="false">IF($I86="","",$I86-$J86)</f>
        <v/>
      </c>
      <c r="L86" s="37"/>
      <c r="M86" s="37"/>
      <c r="N86" s="34"/>
      <c r="O86" s="38" t="str">
        <f aca="false">IF(OR($K86="",$N86="",$N86=0),"",$K86/$N86)</f>
        <v/>
      </c>
      <c r="P86" s="39" t="str">
        <f aca="false">IF(OR($M86="",$B$3=""),"",IF($J$3="mes_completo",(YEAR($B$3)-YEAR($M86))*12+(MONTH($B$3)-MONTH($M86))-IF(DAY($B$3)&lt;DAY($M86),1,0),($B$3-$M86)/365.25*12))</f>
        <v/>
      </c>
      <c r="Q86" s="36" t="str">
        <f aca="false">IF(OR($O86="",$P86=""),"",MIN($O86*$P86,$K86))</f>
        <v/>
      </c>
      <c r="R86" s="35"/>
      <c r="S86" s="36" t="str">
        <f aca="false">IF($Q86="","",$I86-$Q86)</f>
        <v/>
      </c>
      <c r="T86" s="36" t="str">
        <f aca="false">IF($Q86="","",$I86-$Q86-IF($R86="",0,$R86))</f>
        <v/>
      </c>
      <c r="U86" s="40" t="str">
        <f aca="false">IF(OR($Q86="",$K86=0),"",$Q86/$K86)</f>
        <v/>
      </c>
      <c r="V86" s="35"/>
      <c r="W86" s="36" t="str">
        <f aca="false">IF(OR($Q86="",$V86=""),"",$Q86-$V86)</f>
        <v/>
      </c>
      <c r="X86" s="17" t="str">
        <f aca="false">IF($Q86="","",IF($Q86&gt;=$K86,"SI","NO"))</f>
        <v/>
      </c>
    </row>
    <row r="87" customFormat="false" ht="15" hidden="false" customHeight="false" outlineLevel="0" collapsed="false">
      <c r="A87" s="34"/>
      <c r="B87" s="34"/>
      <c r="C87" s="34"/>
      <c r="D87" s="34"/>
      <c r="E87" s="34"/>
      <c r="F87" s="34"/>
      <c r="G87" s="35"/>
      <c r="H87" s="35"/>
      <c r="I87" s="36" t="str">
        <f aca="false">IF($G87="","",$G87+IF($H87="",0,$H87))</f>
        <v/>
      </c>
      <c r="J87" s="36" t="str">
        <f aca="false">IF($I87="","",$I87*$H$3/100)</f>
        <v/>
      </c>
      <c r="K87" s="36" t="str">
        <f aca="false">IF($I87="","",$I87-$J87)</f>
        <v/>
      </c>
      <c r="L87" s="37"/>
      <c r="M87" s="37"/>
      <c r="N87" s="34"/>
      <c r="O87" s="38" t="str">
        <f aca="false">IF(OR($K87="",$N87="",$N87=0),"",$K87/$N87)</f>
        <v/>
      </c>
      <c r="P87" s="39" t="str">
        <f aca="false">IF(OR($M87="",$B$3=""),"",IF($J$3="mes_completo",(YEAR($B$3)-YEAR($M87))*12+(MONTH($B$3)-MONTH($M87))-IF(DAY($B$3)&lt;DAY($M87),1,0),($B$3-$M87)/365.25*12))</f>
        <v/>
      </c>
      <c r="Q87" s="36" t="str">
        <f aca="false">IF(OR($O87="",$P87=""),"",MIN($O87*$P87,$K87))</f>
        <v/>
      </c>
      <c r="R87" s="35"/>
      <c r="S87" s="36" t="str">
        <f aca="false">IF($Q87="","",$I87-$Q87)</f>
        <v/>
      </c>
      <c r="T87" s="36" t="str">
        <f aca="false">IF($Q87="","",$I87-$Q87-IF($R87="",0,$R87))</f>
        <v/>
      </c>
      <c r="U87" s="40" t="str">
        <f aca="false">IF(OR($Q87="",$K87=0),"",$Q87/$K87)</f>
        <v/>
      </c>
      <c r="V87" s="35"/>
      <c r="W87" s="36" t="str">
        <f aca="false">IF(OR($Q87="",$V87=""),"",$Q87-$V87)</f>
        <v/>
      </c>
      <c r="X87" s="17" t="str">
        <f aca="false">IF($Q87="","",IF($Q87&gt;=$K87,"SI","NO"))</f>
        <v/>
      </c>
    </row>
    <row r="88" customFormat="false" ht="15" hidden="false" customHeight="false" outlineLevel="0" collapsed="false">
      <c r="A88" s="34"/>
      <c r="B88" s="34"/>
      <c r="C88" s="34"/>
      <c r="D88" s="34"/>
      <c r="E88" s="34"/>
      <c r="F88" s="34"/>
      <c r="G88" s="35"/>
      <c r="H88" s="35"/>
      <c r="I88" s="36" t="str">
        <f aca="false">IF($G88="","",$G88+IF($H88="",0,$H88))</f>
        <v/>
      </c>
      <c r="J88" s="36" t="str">
        <f aca="false">IF($I88="","",$I88*$H$3/100)</f>
        <v/>
      </c>
      <c r="K88" s="36" t="str">
        <f aca="false">IF($I88="","",$I88-$J88)</f>
        <v/>
      </c>
      <c r="L88" s="37"/>
      <c r="M88" s="37"/>
      <c r="N88" s="34"/>
      <c r="O88" s="38" t="str">
        <f aca="false">IF(OR($K88="",$N88="",$N88=0),"",$K88/$N88)</f>
        <v/>
      </c>
      <c r="P88" s="39" t="str">
        <f aca="false">IF(OR($M88="",$B$3=""),"",IF($J$3="mes_completo",(YEAR($B$3)-YEAR($M88))*12+(MONTH($B$3)-MONTH($M88))-IF(DAY($B$3)&lt;DAY($M88),1,0),($B$3-$M88)/365.25*12))</f>
        <v/>
      </c>
      <c r="Q88" s="36" t="str">
        <f aca="false">IF(OR($O88="",$P88=""),"",MIN($O88*$P88,$K88))</f>
        <v/>
      </c>
      <c r="R88" s="35"/>
      <c r="S88" s="36" t="str">
        <f aca="false">IF($Q88="","",$I88-$Q88)</f>
        <v/>
      </c>
      <c r="T88" s="36" t="str">
        <f aca="false">IF($Q88="","",$I88-$Q88-IF($R88="",0,$R88))</f>
        <v/>
      </c>
      <c r="U88" s="40" t="str">
        <f aca="false">IF(OR($Q88="",$K88=0),"",$Q88/$K88)</f>
        <v/>
      </c>
      <c r="V88" s="35"/>
      <c r="W88" s="36" t="str">
        <f aca="false">IF(OR($Q88="",$V88=""),"",$Q88-$V88)</f>
        <v/>
      </c>
      <c r="X88" s="17" t="str">
        <f aca="false">IF($Q88="","",IF($Q88&gt;=$K88,"SI","NO"))</f>
        <v/>
      </c>
    </row>
    <row r="89" customFormat="false" ht="15" hidden="false" customHeight="false" outlineLevel="0" collapsed="false">
      <c r="A89" s="34"/>
      <c r="B89" s="34"/>
      <c r="C89" s="34"/>
      <c r="D89" s="34"/>
      <c r="E89" s="34"/>
      <c r="F89" s="34"/>
      <c r="G89" s="35"/>
      <c r="H89" s="35"/>
      <c r="I89" s="36" t="str">
        <f aca="false">IF($G89="","",$G89+IF($H89="",0,$H89))</f>
        <v/>
      </c>
      <c r="J89" s="36" t="str">
        <f aca="false">IF($I89="","",$I89*$H$3/100)</f>
        <v/>
      </c>
      <c r="K89" s="36" t="str">
        <f aca="false">IF($I89="","",$I89-$J89)</f>
        <v/>
      </c>
      <c r="L89" s="37"/>
      <c r="M89" s="37"/>
      <c r="N89" s="34"/>
      <c r="O89" s="38" t="str">
        <f aca="false">IF(OR($K89="",$N89="",$N89=0),"",$K89/$N89)</f>
        <v/>
      </c>
      <c r="P89" s="39" t="str">
        <f aca="false">IF(OR($M89="",$B$3=""),"",IF($J$3="mes_completo",(YEAR($B$3)-YEAR($M89))*12+(MONTH($B$3)-MONTH($M89))-IF(DAY($B$3)&lt;DAY($M89),1,0),($B$3-$M89)/365.25*12))</f>
        <v/>
      </c>
      <c r="Q89" s="36" t="str">
        <f aca="false">IF(OR($O89="",$P89=""),"",MIN($O89*$P89,$K89))</f>
        <v/>
      </c>
      <c r="R89" s="35"/>
      <c r="S89" s="36" t="str">
        <f aca="false">IF($Q89="","",$I89-$Q89)</f>
        <v/>
      </c>
      <c r="T89" s="36" t="str">
        <f aca="false">IF($Q89="","",$I89-$Q89-IF($R89="",0,$R89))</f>
        <v/>
      </c>
      <c r="U89" s="40" t="str">
        <f aca="false">IF(OR($Q89="",$K89=0),"",$Q89/$K89)</f>
        <v/>
      </c>
      <c r="V89" s="35"/>
      <c r="W89" s="36" t="str">
        <f aca="false">IF(OR($Q89="",$V89=""),"",$Q89-$V89)</f>
        <v/>
      </c>
      <c r="X89" s="17" t="str">
        <f aca="false">IF($Q89="","",IF($Q89&gt;=$K89,"SI","NO"))</f>
        <v/>
      </c>
    </row>
    <row r="90" customFormat="false" ht="15" hidden="false" customHeight="false" outlineLevel="0" collapsed="false">
      <c r="A90" s="34"/>
      <c r="B90" s="34"/>
      <c r="C90" s="34"/>
      <c r="D90" s="34"/>
      <c r="E90" s="34"/>
      <c r="F90" s="34"/>
      <c r="G90" s="35"/>
      <c r="H90" s="35"/>
      <c r="I90" s="36" t="str">
        <f aca="false">IF($G90="","",$G90+IF($H90="",0,$H90))</f>
        <v/>
      </c>
      <c r="J90" s="36" t="str">
        <f aca="false">IF($I90="","",$I90*$H$3/100)</f>
        <v/>
      </c>
      <c r="K90" s="36" t="str">
        <f aca="false">IF($I90="","",$I90-$J90)</f>
        <v/>
      </c>
      <c r="L90" s="37"/>
      <c r="M90" s="37"/>
      <c r="N90" s="34"/>
      <c r="O90" s="38" t="str">
        <f aca="false">IF(OR($K90="",$N90="",$N90=0),"",$K90/$N90)</f>
        <v/>
      </c>
      <c r="P90" s="39" t="str">
        <f aca="false">IF(OR($M90="",$B$3=""),"",IF($J$3="mes_completo",(YEAR($B$3)-YEAR($M90))*12+(MONTH($B$3)-MONTH($M90))-IF(DAY($B$3)&lt;DAY($M90),1,0),($B$3-$M90)/365.25*12))</f>
        <v/>
      </c>
      <c r="Q90" s="36" t="str">
        <f aca="false">IF(OR($O90="",$P90=""),"",MIN($O90*$P90,$K90))</f>
        <v/>
      </c>
      <c r="R90" s="35"/>
      <c r="S90" s="36" t="str">
        <f aca="false">IF($Q90="","",$I90-$Q90)</f>
        <v/>
      </c>
      <c r="T90" s="36" t="str">
        <f aca="false">IF($Q90="","",$I90-$Q90-IF($R90="",0,$R90))</f>
        <v/>
      </c>
      <c r="U90" s="40" t="str">
        <f aca="false">IF(OR($Q90="",$K90=0),"",$Q90/$K90)</f>
        <v/>
      </c>
      <c r="V90" s="35"/>
      <c r="W90" s="36" t="str">
        <f aca="false">IF(OR($Q90="",$V90=""),"",$Q90-$V90)</f>
        <v/>
      </c>
      <c r="X90" s="17" t="str">
        <f aca="false">IF($Q90="","",IF($Q90&gt;=$K90,"SI","NO"))</f>
        <v/>
      </c>
    </row>
    <row r="91" customFormat="false" ht="15" hidden="false" customHeight="false" outlineLevel="0" collapsed="false">
      <c r="A91" s="34"/>
      <c r="B91" s="34"/>
      <c r="C91" s="34"/>
      <c r="D91" s="34"/>
      <c r="E91" s="34"/>
      <c r="F91" s="34"/>
      <c r="G91" s="35"/>
      <c r="H91" s="35"/>
      <c r="I91" s="36" t="str">
        <f aca="false">IF($G91="","",$G91+IF($H91="",0,$H91))</f>
        <v/>
      </c>
      <c r="J91" s="36" t="str">
        <f aca="false">IF($I91="","",$I91*$H$3/100)</f>
        <v/>
      </c>
      <c r="K91" s="36" t="str">
        <f aca="false">IF($I91="","",$I91-$J91)</f>
        <v/>
      </c>
      <c r="L91" s="37"/>
      <c r="M91" s="37"/>
      <c r="N91" s="34"/>
      <c r="O91" s="38" t="str">
        <f aca="false">IF(OR($K91="",$N91="",$N91=0),"",$K91/$N91)</f>
        <v/>
      </c>
      <c r="P91" s="39" t="str">
        <f aca="false">IF(OR($M91="",$B$3=""),"",IF($J$3="mes_completo",(YEAR($B$3)-YEAR($M91))*12+(MONTH($B$3)-MONTH($M91))-IF(DAY($B$3)&lt;DAY($M91),1,0),($B$3-$M91)/365.25*12))</f>
        <v/>
      </c>
      <c r="Q91" s="36" t="str">
        <f aca="false">IF(OR($O91="",$P91=""),"",MIN($O91*$P91,$K91))</f>
        <v/>
      </c>
      <c r="R91" s="35"/>
      <c r="S91" s="36" t="str">
        <f aca="false">IF($Q91="","",$I91-$Q91)</f>
        <v/>
      </c>
      <c r="T91" s="36" t="str">
        <f aca="false">IF($Q91="","",$I91-$Q91-IF($R91="",0,$R91))</f>
        <v/>
      </c>
      <c r="U91" s="40" t="str">
        <f aca="false">IF(OR($Q91="",$K91=0),"",$Q91/$K91)</f>
        <v/>
      </c>
      <c r="V91" s="35"/>
      <c r="W91" s="36" t="str">
        <f aca="false">IF(OR($Q91="",$V91=""),"",$Q91-$V91)</f>
        <v/>
      </c>
      <c r="X91" s="17" t="str">
        <f aca="false">IF($Q91="","",IF($Q91&gt;=$K91,"SI","NO"))</f>
        <v/>
      </c>
    </row>
    <row r="92" customFormat="false" ht="15" hidden="false" customHeight="false" outlineLevel="0" collapsed="false">
      <c r="A92" s="34"/>
      <c r="B92" s="34"/>
      <c r="C92" s="34"/>
      <c r="D92" s="34"/>
      <c r="E92" s="34"/>
      <c r="F92" s="34"/>
      <c r="G92" s="35"/>
      <c r="H92" s="35"/>
      <c r="I92" s="36" t="str">
        <f aca="false">IF($G92="","",$G92+IF($H92="",0,$H92))</f>
        <v/>
      </c>
      <c r="J92" s="36" t="str">
        <f aca="false">IF($I92="","",$I92*$H$3/100)</f>
        <v/>
      </c>
      <c r="K92" s="36" t="str">
        <f aca="false">IF($I92="","",$I92-$J92)</f>
        <v/>
      </c>
      <c r="L92" s="37"/>
      <c r="M92" s="37"/>
      <c r="N92" s="34"/>
      <c r="O92" s="38" t="str">
        <f aca="false">IF(OR($K92="",$N92="",$N92=0),"",$K92/$N92)</f>
        <v/>
      </c>
      <c r="P92" s="39" t="str">
        <f aca="false">IF(OR($M92="",$B$3=""),"",IF($J$3="mes_completo",(YEAR($B$3)-YEAR($M92))*12+(MONTH($B$3)-MONTH($M92))-IF(DAY($B$3)&lt;DAY($M92),1,0),($B$3-$M92)/365.25*12))</f>
        <v/>
      </c>
      <c r="Q92" s="36" t="str">
        <f aca="false">IF(OR($O92="",$P92=""),"",MIN($O92*$P92,$K92))</f>
        <v/>
      </c>
      <c r="R92" s="35"/>
      <c r="S92" s="36" t="str">
        <f aca="false">IF($Q92="","",$I92-$Q92)</f>
        <v/>
      </c>
      <c r="T92" s="36" t="str">
        <f aca="false">IF($Q92="","",$I92-$Q92-IF($R92="",0,$R92))</f>
        <v/>
      </c>
      <c r="U92" s="40" t="str">
        <f aca="false">IF(OR($Q92="",$K92=0),"",$Q92/$K92)</f>
        <v/>
      </c>
      <c r="V92" s="35"/>
      <c r="W92" s="36" t="str">
        <f aca="false">IF(OR($Q92="",$V92=""),"",$Q92-$V92)</f>
        <v/>
      </c>
      <c r="X92" s="17" t="str">
        <f aca="false">IF($Q92="","",IF($Q92&gt;=$K92,"SI","NO"))</f>
        <v/>
      </c>
    </row>
    <row r="93" customFormat="false" ht="15" hidden="false" customHeight="false" outlineLevel="0" collapsed="false">
      <c r="A93" s="34"/>
      <c r="B93" s="34"/>
      <c r="C93" s="34"/>
      <c r="D93" s="34"/>
      <c r="E93" s="34"/>
      <c r="F93" s="34"/>
      <c r="G93" s="35"/>
      <c r="H93" s="35"/>
      <c r="I93" s="36" t="str">
        <f aca="false">IF($G93="","",$G93+IF($H93="",0,$H93))</f>
        <v/>
      </c>
      <c r="J93" s="36" t="str">
        <f aca="false">IF($I93="","",$I93*$H$3/100)</f>
        <v/>
      </c>
      <c r="K93" s="36" t="str">
        <f aca="false">IF($I93="","",$I93-$J93)</f>
        <v/>
      </c>
      <c r="L93" s="37"/>
      <c r="M93" s="37"/>
      <c r="N93" s="34"/>
      <c r="O93" s="38" t="str">
        <f aca="false">IF(OR($K93="",$N93="",$N93=0),"",$K93/$N93)</f>
        <v/>
      </c>
      <c r="P93" s="39" t="str">
        <f aca="false">IF(OR($M93="",$B$3=""),"",IF($J$3="mes_completo",(YEAR($B$3)-YEAR($M93))*12+(MONTH($B$3)-MONTH($M93))-IF(DAY($B$3)&lt;DAY($M93),1,0),($B$3-$M93)/365.25*12))</f>
        <v/>
      </c>
      <c r="Q93" s="36" t="str">
        <f aca="false">IF(OR($O93="",$P93=""),"",MIN($O93*$P93,$K93))</f>
        <v/>
      </c>
      <c r="R93" s="35"/>
      <c r="S93" s="36" t="str">
        <f aca="false">IF($Q93="","",$I93-$Q93)</f>
        <v/>
      </c>
      <c r="T93" s="36" t="str">
        <f aca="false">IF($Q93="","",$I93-$Q93-IF($R93="",0,$R93))</f>
        <v/>
      </c>
      <c r="U93" s="40" t="str">
        <f aca="false">IF(OR($Q93="",$K93=0),"",$Q93/$K93)</f>
        <v/>
      </c>
      <c r="V93" s="35"/>
      <c r="W93" s="36" t="str">
        <f aca="false">IF(OR($Q93="",$V93=""),"",$Q93-$V93)</f>
        <v/>
      </c>
      <c r="X93" s="17" t="str">
        <f aca="false">IF($Q93="","",IF($Q93&gt;=$K93,"SI","NO"))</f>
        <v/>
      </c>
    </row>
    <row r="94" customFormat="false" ht="15" hidden="false" customHeight="false" outlineLevel="0" collapsed="false">
      <c r="A94" s="34"/>
      <c r="B94" s="34"/>
      <c r="C94" s="34"/>
      <c r="D94" s="34"/>
      <c r="E94" s="34"/>
      <c r="F94" s="34"/>
      <c r="G94" s="35"/>
      <c r="H94" s="35"/>
      <c r="I94" s="36" t="str">
        <f aca="false">IF($G94="","",$G94+IF($H94="",0,$H94))</f>
        <v/>
      </c>
      <c r="J94" s="36" t="str">
        <f aca="false">IF($I94="","",$I94*$H$3/100)</f>
        <v/>
      </c>
      <c r="K94" s="36" t="str">
        <f aca="false">IF($I94="","",$I94-$J94)</f>
        <v/>
      </c>
      <c r="L94" s="37"/>
      <c r="M94" s="37"/>
      <c r="N94" s="34"/>
      <c r="O94" s="38" t="str">
        <f aca="false">IF(OR($K94="",$N94="",$N94=0),"",$K94/$N94)</f>
        <v/>
      </c>
      <c r="P94" s="39" t="str">
        <f aca="false">IF(OR($M94="",$B$3=""),"",IF($J$3="mes_completo",(YEAR($B$3)-YEAR($M94))*12+(MONTH($B$3)-MONTH($M94))-IF(DAY($B$3)&lt;DAY($M94),1,0),($B$3-$M94)/365.25*12))</f>
        <v/>
      </c>
      <c r="Q94" s="36" t="str">
        <f aca="false">IF(OR($O94="",$P94=""),"",MIN($O94*$P94,$K94))</f>
        <v/>
      </c>
      <c r="R94" s="35"/>
      <c r="S94" s="36" t="str">
        <f aca="false">IF($Q94="","",$I94-$Q94)</f>
        <v/>
      </c>
      <c r="T94" s="36" t="str">
        <f aca="false">IF($Q94="","",$I94-$Q94-IF($R94="",0,$R94))</f>
        <v/>
      </c>
      <c r="U94" s="40" t="str">
        <f aca="false">IF(OR($Q94="",$K94=0),"",$Q94/$K94)</f>
        <v/>
      </c>
      <c r="V94" s="35"/>
      <c r="W94" s="36" t="str">
        <f aca="false">IF(OR($Q94="",$V94=""),"",$Q94-$V94)</f>
        <v/>
      </c>
      <c r="X94" s="17" t="str">
        <f aca="false">IF($Q94="","",IF($Q94&gt;=$K94,"SI","NO"))</f>
        <v/>
      </c>
    </row>
    <row r="95" customFormat="false" ht="15" hidden="false" customHeight="false" outlineLevel="0" collapsed="false">
      <c r="A95" s="34"/>
      <c r="B95" s="34"/>
      <c r="C95" s="34"/>
      <c r="D95" s="34"/>
      <c r="E95" s="34"/>
      <c r="F95" s="34"/>
      <c r="G95" s="35"/>
      <c r="H95" s="35"/>
      <c r="I95" s="36" t="str">
        <f aca="false">IF($G95="","",$G95+IF($H95="",0,$H95))</f>
        <v/>
      </c>
      <c r="J95" s="36" t="str">
        <f aca="false">IF($I95="","",$I95*$H$3/100)</f>
        <v/>
      </c>
      <c r="K95" s="36" t="str">
        <f aca="false">IF($I95="","",$I95-$J95)</f>
        <v/>
      </c>
      <c r="L95" s="37"/>
      <c r="M95" s="37"/>
      <c r="N95" s="34"/>
      <c r="O95" s="38" t="str">
        <f aca="false">IF(OR($K95="",$N95="",$N95=0),"",$K95/$N95)</f>
        <v/>
      </c>
      <c r="P95" s="39" t="str">
        <f aca="false">IF(OR($M95="",$B$3=""),"",IF($J$3="mes_completo",(YEAR($B$3)-YEAR($M95))*12+(MONTH($B$3)-MONTH($M95))-IF(DAY($B$3)&lt;DAY($M95),1,0),($B$3-$M95)/365.25*12))</f>
        <v/>
      </c>
      <c r="Q95" s="36" t="str">
        <f aca="false">IF(OR($O95="",$P95=""),"",MIN($O95*$P95,$K95))</f>
        <v/>
      </c>
      <c r="R95" s="35"/>
      <c r="S95" s="36" t="str">
        <f aca="false">IF($Q95="","",$I95-$Q95)</f>
        <v/>
      </c>
      <c r="T95" s="36" t="str">
        <f aca="false">IF($Q95="","",$I95-$Q95-IF($R95="",0,$R95))</f>
        <v/>
      </c>
      <c r="U95" s="40" t="str">
        <f aca="false">IF(OR($Q95="",$K95=0),"",$Q95/$K95)</f>
        <v/>
      </c>
      <c r="V95" s="35"/>
      <c r="W95" s="36" t="str">
        <f aca="false">IF(OR($Q95="",$V95=""),"",$Q95-$V95)</f>
        <v/>
      </c>
      <c r="X95" s="17" t="str">
        <f aca="false">IF($Q95="","",IF($Q95&gt;=$K95,"SI","NO"))</f>
        <v/>
      </c>
    </row>
    <row r="96" customFormat="false" ht="15" hidden="false" customHeight="false" outlineLevel="0" collapsed="false">
      <c r="A96" s="34"/>
      <c r="B96" s="34"/>
      <c r="C96" s="34"/>
      <c r="D96" s="34"/>
      <c r="E96" s="34"/>
      <c r="F96" s="34"/>
      <c r="G96" s="35"/>
      <c r="H96" s="35"/>
      <c r="I96" s="36" t="str">
        <f aca="false">IF($G96="","",$G96+IF($H96="",0,$H96))</f>
        <v/>
      </c>
      <c r="J96" s="36" t="str">
        <f aca="false">IF($I96="","",$I96*$H$3/100)</f>
        <v/>
      </c>
      <c r="K96" s="36" t="str">
        <f aca="false">IF($I96="","",$I96-$J96)</f>
        <v/>
      </c>
      <c r="L96" s="37"/>
      <c r="M96" s="37"/>
      <c r="N96" s="34"/>
      <c r="O96" s="38" t="str">
        <f aca="false">IF(OR($K96="",$N96="",$N96=0),"",$K96/$N96)</f>
        <v/>
      </c>
      <c r="P96" s="39" t="str">
        <f aca="false">IF(OR($M96="",$B$3=""),"",IF($J$3="mes_completo",(YEAR($B$3)-YEAR($M96))*12+(MONTH($B$3)-MONTH($M96))-IF(DAY($B$3)&lt;DAY($M96),1,0),($B$3-$M96)/365.25*12))</f>
        <v/>
      </c>
      <c r="Q96" s="36" t="str">
        <f aca="false">IF(OR($O96="",$P96=""),"",MIN($O96*$P96,$K96))</f>
        <v/>
      </c>
      <c r="R96" s="35"/>
      <c r="S96" s="36" t="str">
        <f aca="false">IF($Q96="","",$I96-$Q96)</f>
        <v/>
      </c>
      <c r="T96" s="36" t="str">
        <f aca="false">IF($Q96="","",$I96-$Q96-IF($R96="",0,$R96))</f>
        <v/>
      </c>
      <c r="U96" s="40" t="str">
        <f aca="false">IF(OR($Q96="",$K96=0),"",$Q96/$K96)</f>
        <v/>
      </c>
      <c r="V96" s="35"/>
      <c r="W96" s="36" t="str">
        <f aca="false">IF(OR($Q96="",$V96=""),"",$Q96-$V96)</f>
        <v/>
      </c>
      <c r="X96" s="17" t="str">
        <f aca="false">IF($Q96="","",IF($Q96&gt;=$K96,"SI","NO"))</f>
        <v/>
      </c>
    </row>
    <row r="97" customFormat="false" ht="15" hidden="false" customHeight="false" outlineLevel="0" collapsed="false">
      <c r="A97" s="34"/>
      <c r="B97" s="34"/>
      <c r="C97" s="34"/>
      <c r="D97" s="34"/>
      <c r="E97" s="34"/>
      <c r="F97" s="34"/>
      <c r="G97" s="35"/>
      <c r="H97" s="35"/>
      <c r="I97" s="36" t="str">
        <f aca="false">IF($G97="","",$G97+IF($H97="",0,$H97))</f>
        <v/>
      </c>
      <c r="J97" s="36" t="str">
        <f aca="false">IF($I97="","",$I97*$H$3/100)</f>
        <v/>
      </c>
      <c r="K97" s="36" t="str">
        <f aca="false">IF($I97="","",$I97-$J97)</f>
        <v/>
      </c>
      <c r="L97" s="37"/>
      <c r="M97" s="37"/>
      <c r="N97" s="34"/>
      <c r="O97" s="38" t="str">
        <f aca="false">IF(OR($K97="",$N97="",$N97=0),"",$K97/$N97)</f>
        <v/>
      </c>
      <c r="P97" s="39" t="str">
        <f aca="false">IF(OR($M97="",$B$3=""),"",IF($J$3="mes_completo",(YEAR($B$3)-YEAR($M97))*12+(MONTH($B$3)-MONTH($M97))-IF(DAY($B$3)&lt;DAY($M97),1,0),($B$3-$M97)/365.25*12))</f>
        <v/>
      </c>
      <c r="Q97" s="36" t="str">
        <f aca="false">IF(OR($O97="",$P97=""),"",MIN($O97*$P97,$K97))</f>
        <v/>
      </c>
      <c r="R97" s="35"/>
      <c r="S97" s="36" t="str">
        <f aca="false">IF($Q97="","",$I97-$Q97)</f>
        <v/>
      </c>
      <c r="T97" s="36" t="str">
        <f aca="false">IF($Q97="","",$I97-$Q97-IF($R97="",0,$R97))</f>
        <v/>
      </c>
      <c r="U97" s="40" t="str">
        <f aca="false">IF(OR($Q97="",$K97=0),"",$Q97/$K97)</f>
        <v/>
      </c>
      <c r="V97" s="35"/>
      <c r="W97" s="36" t="str">
        <f aca="false">IF(OR($Q97="",$V97=""),"",$Q97-$V97)</f>
        <v/>
      </c>
      <c r="X97" s="17" t="str">
        <f aca="false">IF($Q97="","",IF($Q97&gt;=$K97,"SI","NO"))</f>
        <v/>
      </c>
    </row>
    <row r="98" customFormat="false" ht="15" hidden="false" customHeight="false" outlineLevel="0" collapsed="false">
      <c r="A98" s="34"/>
      <c r="B98" s="34"/>
      <c r="C98" s="34"/>
      <c r="D98" s="34"/>
      <c r="E98" s="34"/>
      <c r="F98" s="34"/>
      <c r="G98" s="35"/>
      <c r="H98" s="35"/>
      <c r="I98" s="36" t="str">
        <f aca="false">IF($G98="","",$G98+IF($H98="",0,$H98))</f>
        <v/>
      </c>
      <c r="J98" s="36" t="str">
        <f aca="false">IF($I98="","",$I98*$H$3/100)</f>
        <v/>
      </c>
      <c r="K98" s="36" t="str">
        <f aca="false">IF($I98="","",$I98-$J98)</f>
        <v/>
      </c>
      <c r="L98" s="37"/>
      <c r="M98" s="37"/>
      <c r="N98" s="34"/>
      <c r="O98" s="38" t="str">
        <f aca="false">IF(OR($K98="",$N98="",$N98=0),"",$K98/$N98)</f>
        <v/>
      </c>
      <c r="P98" s="39" t="str">
        <f aca="false">IF(OR($M98="",$B$3=""),"",IF($J$3="mes_completo",(YEAR($B$3)-YEAR($M98))*12+(MONTH($B$3)-MONTH($M98))-IF(DAY($B$3)&lt;DAY($M98),1,0),($B$3-$M98)/365.25*12))</f>
        <v/>
      </c>
      <c r="Q98" s="36" t="str">
        <f aca="false">IF(OR($O98="",$P98=""),"",MIN($O98*$P98,$K98))</f>
        <v/>
      </c>
      <c r="R98" s="35"/>
      <c r="S98" s="36" t="str">
        <f aca="false">IF($Q98="","",$I98-$Q98)</f>
        <v/>
      </c>
      <c r="T98" s="36" t="str">
        <f aca="false">IF($Q98="","",$I98-$Q98-IF($R98="",0,$R98))</f>
        <v/>
      </c>
      <c r="U98" s="40" t="str">
        <f aca="false">IF(OR($Q98="",$K98=0),"",$Q98/$K98)</f>
        <v/>
      </c>
      <c r="V98" s="35"/>
      <c r="W98" s="36" t="str">
        <f aca="false">IF(OR($Q98="",$V98=""),"",$Q98-$V98)</f>
        <v/>
      </c>
      <c r="X98" s="17" t="str">
        <f aca="false">IF($Q98="","",IF($Q98&gt;=$K98,"SI","NO"))</f>
        <v/>
      </c>
    </row>
    <row r="99" customFormat="false" ht="15" hidden="false" customHeight="false" outlineLevel="0" collapsed="false">
      <c r="A99" s="34"/>
      <c r="B99" s="34"/>
      <c r="C99" s="34"/>
      <c r="D99" s="34"/>
      <c r="E99" s="34"/>
      <c r="F99" s="34"/>
      <c r="G99" s="35"/>
      <c r="H99" s="35"/>
      <c r="I99" s="36" t="str">
        <f aca="false">IF($G99="","",$G99+IF($H99="",0,$H99))</f>
        <v/>
      </c>
      <c r="J99" s="36" t="str">
        <f aca="false">IF($I99="","",$I99*$H$3/100)</f>
        <v/>
      </c>
      <c r="K99" s="36" t="str">
        <f aca="false">IF($I99="","",$I99-$J99)</f>
        <v/>
      </c>
      <c r="L99" s="37"/>
      <c r="M99" s="37"/>
      <c r="N99" s="34"/>
      <c r="O99" s="38" t="str">
        <f aca="false">IF(OR($K99="",$N99="",$N99=0),"",$K99/$N99)</f>
        <v/>
      </c>
      <c r="P99" s="39" t="str">
        <f aca="false">IF(OR($M99="",$B$3=""),"",IF($J$3="mes_completo",(YEAR($B$3)-YEAR($M99))*12+(MONTH($B$3)-MONTH($M99))-IF(DAY($B$3)&lt;DAY($M99),1,0),($B$3-$M99)/365.25*12))</f>
        <v/>
      </c>
      <c r="Q99" s="36" t="str">
        <f aca="false">IF(OR($O99="",$P99=""),"",MIN($O99*$P99,$K99))</f>
        <v/>
      </c>
      <c r="R99" s="35"/>
      <c r="S99" s="36" t="str">
        <f aca="false">IF($Q99="","",$I99-$Q99)</f>
        <v/>
      </c>
      <c r="T99" s="36" t="str">
        <f aca="false">IF($Q99="","",$I99-$Q99-IF($R99="",0,$R99))</f>
        <v/>
      </c>
      <c r="U99" s="40" t="str">
        <f aca="false">IF(OR($Q99="",$K99=0),"",$Q99/$K99)</f>
        <v/>
      </c>
      <c r="V99" s="35"/>
      <c r="W99" s="36" t="str">
        <f aca="false">IF(OR($Q99="",$V99=""),"",$Q99-$V99)</f>
        <v/>
      </c>
      <c r="X99" s="17" t="str">
        <f aca="false">IF($Q99="","",IF($Q99&gt;=$K99,"SI","NO"))</f>
        <v/>
      </c>
    </row>
    <row r="100" customFormat="false" ht="15" hidden="false" customHeight="false" outlineLevel="0" collapsed="false">
      <c r="A100" s="34"/>
      <c r="B100" s="34"/>
      <c r="C100" s="34"/>
      <c r="D100" s="34"/>
      <c r="E100" s="34"/>
      <c r="F100" s="34"/>
      <c r="G100" s="35"/>
      <c r="H100" s="35"/>
      <c r="I100" s="36" t="str">
        <f aca="false">IF($G100="","",$G100+IF($H100="",0,$H100))</f>
        <v/>
      </c>
      <c r="J100" s="36" t="str">
        <f aca="false">IF($I100="","",$I100*$H$3/100)</f>
        <v/>
      </c>
      <c r="K100" s="36" t="str">
        <f aca="false">IF($I100="","",$I100-$J100)</f>
        <v/>
      </c>
      <c r="L100" s="37"/>
      <c r="M100" s="37"/>
      <c r="N100" s="34"/>
      <c r="O100" s="38" t="str">
        <f aca="false">IF(OR($K100="",$N100="",$N100=0),"",$K100/$N100)</f>
        <v/>
      </c>
      <c r="P100" s="39" t="str">
        <f aca="false">IF(OR($M100="",$B$3=""),"",IF($J$3="mes_completo",(YEAR($B$3)-YEAR($M100))*12+(MONTH($B$3)-MONTH($M100))-IF(DAY($B$3)&lt;DAY($M100),1,0),($B$3-$M100)/365.25*12))</f>
        <v/>
      </c>
      <c r="Q100" s="36" t="str">
        <f aca="false">IF(OR($O100="",$P100=""),"",MIN($O100*$P100,$K100))</f>
        <v/>
      </c>
      <c r="R100" s="35"/>
      <c r="S100" s="36" t="str">
        <f aca="false">IF($Q100="","",$I100-$Q100)</f>
        <v/>
      </c>
      <c r="T100" s="36" t="str">
        <f aca="false">IF($Q100="","",$I100-$Q100-IF($R100="",0,$R100))</f>
        <v/>
      </c>
      <c r="U100" s="40" t="str">
        <f aca="false">IF(OR($Q100="",$K100=0),"",$Q100/$K100)</f>
        <v/>
      </c>
      <c r="V100" s="35"/>
      <c r="W100" s="36" t="str">
        <f aca="false">IF(OR($Q100="",$V100=""),"",$Q100-$V100)</f>
        <v/>
      </c>
      <c r="X100" s="17" t="str">
        <f aca="false">IF($Q100="","",IF($Q100&gt;=$K100,"SI","NO"))</f>
        <v/>
      </c>
    </row>
    <row r="101" customFormat="false" ht="15" hidden="false" customHeight="false" outlineLevel="0" collapsed="false">
      <c r="A101" s="34"/>
      <c r="B101" s="34"/>
      <c r="C101" s="34"/>
      <c r="D101" s="34"/>
      <c r="E101" s="34"/>
      <c r="F101" s="34"/>
      <c r="G101" s="35"/>
      <c r="H101" s="35"/>
      <c r="I101" s="36" t="str">
        <f aca="false">IF($G101="","",$G101+IF($H101="",0,$H101))</f>
        <v/>
      </c>
      <c r="J101" s="36" t="str">
        <f aca="false">IF($I101="","",$I101*$H$3/100)</f>
        <v/>
      </c>
      <c r="K101" s="36" t="str">
        <f aca="false">IF($I101="","",$I101-$J101)</f>
        <v/>
      </c>
      <c r="L101" s="37"/>
      <c r="M101" s="37"/>
      <c r="N101" s="34"/>
      <c r="O101" s="38" t="str">
        <f aca="false">IF(OR($K101="",$N101="",$N101=0),"",$K101/$N101)</f>
        <v/>
      </c>
      <c r="P101" s="39" t="str">
        <f aca="false">IF(OR($M101="",$B$3=""),"",IF($J$3="mes_completo",(YEAR($B$3)-YEAR($M101))*12+(MONTH($B$3)-MONTH($M101))-IF(DAY($B$3)&lt;DAY($M101),1,0),($B$3-$M101)/365.25*12))</f>
        <v/>
      </c>
      <c r="Q101" s="36" t="str">
        <f aca="false">IF(OR($O101="",$P101=""),"",MIN($O101*$P101,$K101))</f>
        <v/>
      </c>
      <c r="R101" s="35"/>
      <c r="S101" s="36" t="str">
        <f aca="false">IF($Q101="","",$I101-$Q101)</f>
        <v/>
      </c>
      <c r="T101" s="36" t="str">
        <f aca="false">IF($Q101="","",$I101-$Q101-IF($R101="",0,$R101))</f>
        <v/>
      </c>
      <c r="U101" s="40" t="str">
        <f aca="false">IF(OR($Q101="",$K101=0),"",$Q101/$K101)</f>
        <v/>
      </c>
      <c r="V101" s="35"/>
      <c r="W101" s="36" t="str">
        <f aca="false">IF(OR($Q101="",$V101=""),"",$Q101-$V101)</f>
        <v/>
      </c>
      <c r="X101" s="17" t="str">
        <f aca="false">IF($Q101="","",IF($Q101&gt;=$K101,"SI","NO"))</f>
        <v/>
      </c>
    </row>
    <row r="102" customFormat="false" ht="15" hidden="false" customHeight="false" outlineLevel="0" collapsed="false">
      <c r="A102" s="34"/>
      <c r="B102" s="34"/>
      <c r="C102" s="34"/>
      <c r="D102" s="34"/>
      <c r="E102" s="34"/>
      <c r="F102" s="34"/>
      <c r="G102" s="35"/>
      <c r="H102" s="35"/>
      <c r="I102" s="36" t="str">
        <f aca="false">IF($G102="","",$G102+IF($H102="",0,$H102))</f>
        <v/>
      </c>
      <c r="J102" s="36" t="str">
        <f aca="false">IF($I102="","",$I102*$H$3/100)</f>
        <v/>
      </c>
      <c r="K102" s="36" t="str">
        <f aca="false">IF($I102="","",$I102-$J102)</f>
        <v/>
      </c>
      <c r="L102" s="37"/>
      <c r="M102" s="37"/>
      <c r="N102" s="34"/>
      <c r="O102" s="38" t="str">
        <f aca="false">IF(OR($K102="",$N102="",$N102=0),"",$K102/$N102)</f>
        <v/>
      </c>
      <c r="P102" s="39" t="str">
        <f aca="false">IF(OR($M102="",$B$3=""),"",IF($J$3="mes_completo",(YEAR($B$3)-YEAR($M102))*12+(MONTH($B$3)-MONTH($M102))-IF(DAY($B$3)&lt;DAY($M102),1,0),($B$3-$M102)/365.25*12))</f>
        <v/>
      </c>
      <c r="Q102" s="36" t="str">
        <f aca="false">IF(OR($O102="",$P102=""),"",MIN($O102*$P102,$K102))</f>
        <v/>
      </c>
      <c r="R102" s="35"/>
      <c r="S102" s="36" t="str">
        <f aca="false">IF($Q102="","",$I102-$Q102)</f>
        <v/>
      </c>
      <c r="T102" s="36" t="str">
        <f aca="false">IF($Q102="","",$I102-$Q102-IF($R102="",0,$R102))</f>
        <v/>
      </c>
      <c r="U102" s="40" t="str">
        <f aca="false">IF(OR($Q102="",$K102=0),"",$Q102/$K102)</f>
        <v/>
      </c>
      <c r="V102" s="35"/>
      <c r="W102" s="36" t="str">
        <f aca="false">IF(OR($Q102="",$V102=""),"",$Q102-$V102)</f>
        <v/>
      </c>
      <c r="X102" s="17" t="str">
        <f aca="false">IF($Q102="","",IF($Q102&gt;=$K102,"SI","NO"))</f>
        <v/>
      </c>
    </row>
    <row r="103" customFormat="false" ht="15" hidden="false" customHeight="false" outlineLevel="0" collapsed="false">
      <c r="A103" s="34"/>
      <c r="B103" s="34"/>
      <c r="C103" s="34"/>
      <c r="D103" s="34"/>
      <c r="E103" s="34"/>
      <c r="F103" s="34"/>
      <c r="G103" s="35"/>
      <c r="H103" s="35"/>
      <c r="I103" s="36" t="str">
        <f aca="false">IF($G103="","",$G103+IF($H103="",0,$H103))</f>
        <v/>
      </c>
      <c r="J103" s="36" t="str">
        <f aca="false">IF($I103="","",$I103*$H$3/100)</f>
        <v/>
      </c>
      <c r="K103" s="36" t="str">
        <f aca="false">IF($I103="","",$I103-$J103)</f>
        <v/>
      </c>
      <c r="L103" s="37"/>
      <c r="M103" s="37"/>
      <c r="N103" s="34"/>
      <c r="O103" s="38" t="str">
        <f aca="false">IF(OR($K103="",$N103="",$N103=0),"",$K103/$N103)</f>
        <v/>
      </c>
      <c r="P103" s="39" t="str">
        <f aca="false">IF(OR($M103="",$B$3=""),"",IF($J$3="mes_completo",(YEAR($B$3)-YEAR($M103))*12+(MONTH($B$3)-MONTH($M103))-IF(DAY($B$3)&lt;DAY($M103),1,0),($B$3-$M103)/365.25*12))</f>
        <v/>
      </c>
      <c r="Q103" s="36" t="str">
        <f aca="false">IF(OR($O103="",$P103=""),"",MIN($O103*$P103,$K103))</f>
        <v/>
      </c>
      <c r="R103" s="35"/>
      <c r="S103" s="36" t="str">
        <f aca="false">IF($Q103="","",$I103-$Q103)</f>
        <v/>
      </c>
      <c r="T103" s="36" t="str">
        <f aca="false">IF($Q103="","",$I103-$Q103-IF($R103="",0,$R103))</f>
        <v/>
      </c>
      <c r="U103" s="40" t="str">
        <f aca="false">IF(OR($Q103="",$K103=0),"",$Q103/$K103)</f>
        <v/>
      </c>
      <c r="V103" s="35"/>
      <c r="W103" s="36" t="str">
        <f aca="false">IF(OR($Q103="",$V103=""),"",$Q103-$V103)</f>
        <v/>
      </c>
      <c r="X103" s="17" t="str">
        <f aca="false">IF($Q103="","",IF($Q103&gt;=$K103,"SI","NO"))</f>
        <v/>
      </c>
    </row>
    <row r="104" customFormat="false" ht="15" hidden="false" customHeight="false" outlineLevel="0" collapsed="false">
      <c r="A104" s="34"/>
      <c r="B104" s="34"/>
      <c r="C104" s="34"/>
      <c r="D104" s="34"/>
      <c r="E104" s="34"/>
      <c r="F104" s="34"/>
      <c r="G104" s="35"/>
      <c r="H104" s="35"/>
      <c r="I104" s="36" t="str">
        <f aca="false">IF($G104="","",$G104+IF($H104="",0,$H104))</f>
        <v/>
      </c>
      <c r="J104" s="36" t="str">
        <f aca="false">IF($I104="","",$I104*$H$3/100)</f>
        <v/>
      </c>
      <c r="K104" s="36" t="str">
        <f aca="false">IF($I104="","",$I104-$J104)</f>
        <v/>
      </c>
      <c r="L104" s="37"/>
      <c r="M104" s="37"/>
      <c r="N104" s="34"/>
      <c r="O104" s="38" t="str">
        <f aca="false">IF(OR($K104="",$N104="",$N104=0),"",$K104/$N104)</f>
        <v/>
      </c>
      <c r="P104" s="39" t="str">
        <f aca="false">IF(OR($M104="",$B$3=""),"",IF($J$3="mes_completo",(YEAR($B$3)-YEAR($M104))*12+(MONTH($B$3)-MONTH($M104))-IF(DAY($B$3)&lt;DAY($M104),1,0),($B$3-$M104)/365.25*12))</f>
        <v/>
      </c>
      <c r="Q104" s="36" t="str">
        <f aca="false">IF(OR($O104="",$P104=""),"",MIN($O104*$P104,$K104))</f>
        <v/>
      </c>
      <c r="R104" s="35"/>
      <c r="S104" s="36" t="str">
        <f aca="false">IF($Q104="","",$I104-$Q104)</f>
        <v/>
      </c>
      <c r="T104" s="36" t="str">
        <f aca="false">IF($Q104="","",$I104-$Q104-IF($R104="",0,$R104))</f>
        <v/>
      </c>
      <c r="U104" s="40" t="str">
        <f aca="false">IF(OR($Q104="",$K104=0),"",$Q104/$K104)</f>
        <v/>
      </c>
      <c r="V104" s="35"/>
      <c r="W104" s="36" t="str">
        <f aca="false">IF(OR($Q104="",$V104=""),"",$Q104-$V104)</f>
        <v/>
      </c>
      <c r="X104" s="17" t="str">
        <f aca="false">IF($Q104="","",IF($Q104&gt;=$K104,"SI","NO"))</f>
        <v/>
      </c>
    </row>
    <row r="105" customFormat="false" ht="15" hidden="false" customHeight="false" outlineLevel="0" collapsed="false">
      <c r="A105" s="34"/>
      <c r="B105" s="34"/>
      <c r="C105" s="34"/>
      <c r="D105" s="34"/>
      <c r="E105" s="34"/>
      <c r="F105" s="34"/>
      <c r="G105" s="35"/>
      <c r="H105" s="35"/>
      <c r="I105" s="36" t="str">
        <f aca="false">IF($G105="","",$G105+IF($H105="",0,$H105))</f>
        <v/>
      </c>
      <c r="J105" s="36" t="str">
        <f aca="false">IF($I105="","",$I105*$H$3/100)</f>
        <v/>
      </c>
      <c r="K105" s="36" t="str">
        <f aca="false">IF($I105="","",$I105-$J105)</f>
        <v/>
      </c>
      <c r="L105" s="37"/>
      <c r="M105" s="37"/>
      <c r="N105" s="34"/>
      <c r="O105" s="38" t="str">
        <f aca="false">IF(OR($K105="",$N105="",$N105=0),"",$K105/$N105)</f>
        <v/>
      </c>
      <c r="P105" s="39" t="str">
        <f aca="false">IF(OR($M105="",$B$3=""),"",IF($J$3="mes_completo",(YEAR($B$3)-YEAR($M105))*12+(MONTH($B$3)-MONTH($M105))-IF(DAY($B$3)&lt;DAY($M105),1,0),($B$3-$M105)/365.25*12))</f>
        <v/>
      </c>
      <c r="Q105" s="36" t="str">
        <f aca="false">IF(OR($O105="",$P105=""),"",MIN($O105*$P105,$K105))</f>
        <v/>
      </c>
      <c r="R105" s="35"/>
      <c r="S105" s="36" t="str">
        <f aca="false">IF($Q105="","",$I105-$Q105)</f>
        <v/>
      </c>
      <c r="T105" s="36" t="str">
        <f aca="false">IF($Q105="","",$I105-$Q105-IF($R105="",0,$R105))</f>
        <v/>
      </c>
      <c r="U105" s="40" t="str">
        <f aca="false">IF(OR($Q105="",$K105=0),"",$Q105/$K105)</f>
        <v/>
      </c>
      <c r="V105" s="35"/>
      <c r="W105" s="36" t="str">
        <f aca="false">IF(OR($Q105="",$V105=""),"",$Q105-$V105)</f>
        <v/>
      </c>
      <c r="X105" s="17" t="str">
        <f aca="false">IF($Q105="","",IF($Q105&gt;=$K105,"SI","NO"))</f>
        <v/>
      </c>
    </row>
    <row r="106" customFormat="false" ht="15" hidden="false" customHeight="false" outlineLevel="0" collapsed="false">
      <c r="A106" s="34"/>
      <c r="B106" s="34"/>
      <c r="C106" s="34"/>
      <c r="D106" s="34"/>
      <c r="E106" s="34"/>
      <c r="F106" s="34"/>
      <c r="G106" s="35"/>
      <c r="H106" s="35"/>
      <c r="I106" s="36" t="str">
        <f aca="false">IF($G106="","",$G106+IF($H106="",0,$H106))</f>
        <v/>
      </c>
      <c r="J106" s="36" t="str">
        <f aca="false">IF($I106="","",$I106*$H$3/100)</f>
        <v/>
      </c>
      <c r="K106" s="36" t="str">
        <f aca="false">IF($I106="","",$I106-$J106)</f>
        <v/>
      </c>
      <c r="L106" s="37"/>
      <c r="M106" s="37"/>
      <c r="N106" s="34"/>
      <c r="O106" s="38" t="str">
        <f aca="false">IF(OR($K106="",$N106="",$N106=0),"",$K106/$N106)</f>
        <v/>
      </c>
      <c r="P106" s="39" t="str">
        <f aca="false">IF(OR($M106="",$B$3=""),"",IF($J$3="mes_completo",(YEAR($B$3)-YEAR($M106))*12+(MONTH($B$3)-MONTH($M106))-IF(DAY($B$3)&lt;DAY($M106),1,0),($B$3-$M106)/365.25*12))</f>
        <v/>
      </c>
      <c r="Q106" s="36" t="str">
        <f aca="false">IF(OR($O106="",$P106=""),"",MIN($O106*$P106,$K106))</f>
        <v/>
      </c>
      <c r="R106" s="35"/>
      <c r="S106" s="36" t="str">
        <f aca="false">IF($Q106="","",$I106-$Q106)</f>
        <v/>
      </c>
      <c r="T106" s="36" t="str">
        <f aca="false">IF($Q106="","",$I106-$Q106-IF($R106="",0,$R106))</f>
        <v/>
      </c>
      <c r="U106" s="40" t="str">
        <f aca="false">IF(OR($Q106="",$K106=0),"",$Q106/$K106)</f>
        <v/>
      </c>
      <c r="V106" s="35"/>
      <c r="W106" s="36" t="str">
        <f aca="false">IF(OR($Q106="",$V106=""),"",$Q106-$V106)</f>
        <v/>
      </c>
      <c r="X106" s="17" t="str">
        <f aca="false">IF($Q106="","",IF($Q106&gt;=$K106,"SI","NO"))</f>
        <v/>
      </c>
    </row>
    <row r="107" customFormat="false" ht="15" hidden="false" customHeight="false" outlineLevel="0" collapsed="false">
      <c r="A107" s="34"/>
      <c r="B107" s="34"/>
      <c r="C107" s="34"/>
      <c r="D107" s="34"/>
      <c r="E107" s="34"/>
      <c r="F107" s="34"/>
      <c r="G107" s="35"/>
      <c r="H107" s="35"/>
      <c r="I107" s="36" t="str">
        <f aca="false">IF($G107="","",$G107+IF($H107="",0,$H107))</f>
        <v/>
      </c>
      <c r="J107" s="36" t="str">
        <f aca="false">IF($I107="","",$I107*$H$3/100)</f>
        <v/>
      </c>
      <c r="K107" s="36" t="str">
        <f aca="false">IF($I107="","",$I107-$J107)</f>
        <v/>
      </c>
      <c r="L107" s="37"/>
      <c r="M107" s="37"/>
      <c r="N107" s="34"/>
      <c r="O107" s="38" t="str">
        <f aca="false">IF(OR($K107="",$N107="",$N107=0),"",$K107/$N107)</f>
        <v/>
      </c>
      <c r="P107" s="39" t="str">
        <f aca="false">IF(OR($M107="",$B$3=""),"",IF($J$3="mes_completo",(YEAR($B$3)-YEAR($M107))*12+(MONTH($B$3)-MONTH($M107))-IF(DAY($B$3)&lt;DAY($M107),1,0),($B$3-$M107)/365.25*12))</f>
        <v/>
      </c>
      <c r="Q107" s="36" t="str">
        <f aca="false">IF(OR($O107="",$P107=""),"",MIN($O107*$P107,$K107))</f>
        <v/>
      </c>
      <c r="R107" s="35"/>
      <c r="S107" s="36" t="str">
        <f aca="false">IF($Q107="","",$I107-$Q107)</f>
        <v/>
      </c>
      <c r="T107" s="36" t="str">
        <f aca="false">IF($Q107="","",$I107-$Q107-IF($R107="",0,$R107))</f>
        <v/>
      </c>
      <c r="U107" s="40" t="str">
        <f aca="false">IF(OR($Q107="",$K107=0),"",$Q107/$K107)</f>
        <v/>
      </c>
      <c r="V107" s="35"/>
      <c r="W107" s="36" t="str">
        <f aca="false">IF(OR($Q107="",$V107=""),"",$Q107-$V107)</f>
        <v/>
      </c>
      <c r="X107" s="17" t="str">
        <f aca="false">IF($Q107="","",IF($Q107&gt;=$K107,"SI","NO"))</f>
        <v/>
      </c>
    </row>
    <row r="108" customFormat="false" ht="15" hidden="false" customHeight="false" outlineLevel="0" collapsed="false">
      <c r="A108" s="34"/>
      <c r="B108" s="34"/>
      <c r="C108" s="34"/>
      <c r="D108" s="34"/>
      <c r="E108" s="34"/>
      <c r="F108" s="34"/>
      <c r="G108" s="35"/>
      <c r="H108" s="35"/>
      <c r="I108" s="36" t="str">
        <f aca="false">IF($G108="","",$G108+IF($H108="",0,$H108))</f>
        <v/>
      </c>
      <c r="J108" s="36" t="str">
        <f aca="false">IF($I108="","",$I108*$H$3/100)</f>
        <v/>
      </c>
      <c r="K108" s="36" t="str">
        <f aca="false">IF($I108="","",$I108-$J108)</f>
        <v/>
      </c>
      <c r="L108" s="37"/>
      <c r="M108" s="37"/>
      <c r="N108" s="34"/>
      <c r="O108" s="38" t="str">
        <f aca="false">IF(OR($K108="",$N108="",$N108=0),"",$K108/$N108)</f>
        <v/>
      </c>
      <c r="P108" s="39" t="str">
        <f aca="false">IF(OR($M108="",$B$3=""),"",IF($J$3="mes_completo",(YEAR($B$3)-YEAR($M108))*12+(MONTH($B$3)-MONTH($M108))-IF(DAY($B$3)&lt;DAY($M108),1,0),($B$3-$M108)/365.25*12))</f>
        <v/>
      </c>
      <c r="Q108" s="36" t="str">
        <f aca="false">IF(OR($O108="",$P108=""),"",MIN($O108*$P108,$K108))</f>
        <v/>
      </c>
      <c r="R108" s="35"/>
      <c r="S108" s="36" t="str">
        <f aca="false">IF($Q108="","",$I108-$Q108)</f>
        <v/>
      </c>
      <c r="T108" s="36" t="str">
        <f aca="false">IF($Q108="","",$I108-$Q108-IF($R108="",0,$R108))</f>
        <v/>
      </c>
      <c r="U108" s="40" t="str">
        <f aca="false">IF(OR($Q108="",$K108=0),"",$Q108/$K108)</f>
        <v/>
      </c>
      <c r="V108" s="35"/>
      <c r="W108" s="36" t="str">
        <f aca="false">IF(OR($Q108="",$V108=""),"",$Q108-$V108)</f>
        <v/>
      </c>
      <c r="X108" s="17" t="str">
        <f aca="false">IF($Q108="","",IF($Q108&gt;=$K108,"SI","NO"))</f>
        <v/>
      </c>
    </row>
    <row r="109" customFormat="false" ht="15" hidden="false" customHeight="false" outlineLevel="0" collapsed="false">
      <c r="A109" s="34"/>
      <c r="B109" s="34"/>
      <c r="C109" s="34"/>
      <c r="D109" s="34"/>
      <c r="E109" s="34"/>
      <c r="F109" s="34"/>
      <c r="G109" s="35"/>
      <c r="H109" s="35"/>
      <c r="I109" s="36" t="str">
        <f aca="false">IF($G109="","",$G109+IF($H109="",0,$H109))</f>
        <v/>
      </c>
      <c r="J109" s="36" t="str">
        <f aca="false">IF($I109="","",$I109*$H$3/100)</f>
        <v/>
      </c>
      <c r="K109" s="36" t="str">
        <f aca="false">IF($I109="","",$I109-$J109)</f>
        <v/>
      </c>
      <c r="L109" s="37"/>
      <c r="M109" s="37"/>
      <c r="N109" s="34"/>
      <c r="O109" s="38" t="str">
        <f aca="false">IF(OR($K109="",$N109="",$N109=0),"",$K109/$N109)</f>
        <v/>
      </c>
      <c r="P109" s="39" t="str">
        <f aca="false">IF(OR($M109="",$B$3=""),"",IF($J$3="mes_completo",(YEAR($B$3)-YEAR($M109))*12+(MONTH($B$3)-MONTH($M109))-IF(DAY($B$3)&lt;DAY($M109),1,0),($B$3-$M109)/365.25*12))</f>
        <v/>
      </c>
      <c r="Q109" s="36" t="str">
        <f aca="false">IF(OR($O109="",$P109=""),"",MIN($O109*$P109,$K109))</f>
        <v/>
      </c>
      <c r="R109" s="35"/>
      <c r="S109" s="36" t="str">
        <f aca="false">IF($Q109="","",$I109-$Q109)</f>
        <v/>
      </c>
      <c r="T109" s="36" t="str">
        <f aca="false">IF($Q109="","",$I109-$Q109-IF($R109="",0,$R109))</f>
        <v/>
      </c>
      <c r="U109" s="40" t="str">
        <f aca="false">IF(OR($Q109="",$K109=0),"",$Q109/$K109)</f>
        <v/>
      </c>
      <c r="V109" s="35"/>
      <c r="W109" s="36" t="str">
        <f aca="false">IF(OR($Q109="",$V109=""),"",$Q109-$V109)</f>
        <v/>
      </c>
      <c r="X109" s="17" t="str">
        <f aca="false">IF($Q109="","",IF($Q109&gt;=$K109,"SI","NO"))</f>
        <v/>
      </c>
    </row>
    <row r="110" customFormat="false" ht="15" hidden="false" customHeight="false" outlineLevel="0" collapsed="false">
      <c r="A110" s="34"/>
      <c r="B110" s="34"/>
      <c r="C110" s="34"/>
      <c r="D110" s="34"/>
      <c r="E110" s="34"/>
      <c r="F110" s="34"/>
      <c r="G110" s="35"/>
      <c r="H110" s="35"/>
      <c r="I110" s="36" t="str">
        <f aca="false">IF($G110="","",$G110+IF($H110="",0,$H110))</f>
        <v/>
      </c>
      <c r="J110" s="36" t="str">
        <f aca="false">IF($I110="","",$I110*$H$3/100)</f>
        <v/>
      </c>
      <c r="K110" s="36" t="str">
        <f aca="false">IF($I110="","",$I110-$J110)</f>
        <v/>
      </c>
      <c r="L110" s="37"/>
      <c r="M110" s="37"/>
      <c r="N110" s="34"/>
      <c r="O110" s="38" t="str">
        <f aca="false">IF(OR($K110="",$N110="",$N110=0),"",$K110/$N110)</f>
        <v/>
      </c>
      <c r="P110" s="39" t="str">
        <f aca="false">IF(OR($M110="",$B$3=""),"",IF($J$3="mes_completo",(YEAR($B$3)-YEAR($M110))*12+(MONTH($B$3)-MONTH($M110))-IF(DAY($B$3)&lt;DAY($M110),1,0),($B$3-$M110)/365.25*12))</f>
        <v/>
      </c>
      <c r="Q110" s="36" t="str">
        <f aca="false">IF(OR($O110="",$P110=""),"",MIN($O110*$P110,$K110))</f>
        <v/>
      </c>
      <c r="R110" s="35"/>
      <c r="S110" s="36" t="str">
        <f aca="false">IF($Q110="","",$I110-$Q110)</f>
        <v/>
      </c>
      <c r="T110" s="36" t="str">
        <f aca="false">IF($Q110="","",$I110-$Q110-IF($R110="",0,$R110))</f>
        <v/>
      </c>
      <c r="U110" s="40" t="str">
        <f aca="false">IF(OR($Q110="",$K110=0),"",$Q110/$K110)</f>
        <v/>
      </c>
      <c r="V110" s="35"/>
      <c r="W110" s="36" t="str">
        <f aca="false">IF(OR($Q110="",$V110=""),"",$Q110-$V110)</f>
        <v/>
      </c>
      <c r="X110" s="17" t="str">
        <f aca="false">IF($Q110="","",IF($Q110&gt;=$K110,"SI","NO"))</f>
        <v/>
      </c>
    </row>
    <row r="111" customFormat="false" ht="15" hidden="false" customHeight="false" outlineLevel="0" collapsed="false">
      <c r="A111" s="34"/>
      <c r="B111" s="34"/>
      <c r="C111" s="34"/>
      <c r="D111" s="34"/>
      <c r="E111" s="34"/>
      <c r="F111" s="34"/>
      <c r="G111" s="35"/>
      <c r="H111" s="35"/>
      <c r="I111" s="36" t="str">
        <f aca="false">IF($G111="","",$G111+IF($H111="",0,$H111))</f>
        <v/>
      </c>
      <c r="J111" s="36" t="str">
        <f aca="false">IF($I111="","",$I111*$H$3/100)</f>
        <v/>
      </c>
      <c r="K111" s="36" t="str">
        <f aca="false">IF($I111="","",$I111-$J111)</f>
        <v/>
      </c>
      <c r="L111" s="37"/>
      <c r="M111" s="37"/>
      <c r="N111" s="34"/>
      <c r="O111" s="38" t="str">
        <f aca="false">IF(OR($K111="",$N111="",$N111=0),"",$K111/$N111)</f>
        <v/>
      </c>
      <c r="P111" s="39" t="str">
        <f aca="false">IF(OR($M111="",$B$3=""),"",IF($J$3="mes_completo",(YEAR($B$3)-YEAR($M111))*12+(MONTH($B$3)-MONTH($M111))-IF(DAY($B$3)&lt;DAY($M111),1,0),($B$3-$M111)/365.25*12))</f>
        <v/>
      </c>
      <c r="Q111" s="36" t="str">
        <f aca="false">IF(OR($O111="",$P111=""),"",MIN($O111*$P111,$K111))</f>
        <v/>
      </c>
      <c r="R111" s="35"/>
      <c r="S111" s="36" t="str">
        <f aca="false">IF($Q111="","",$I111-$Q111)</f>
        <v/>
      </c>
      <c r="T111" s="36" t="str">
        <f aca="false">IF($Q111="","",$I111-$Q111-IF($R111="",0,$R111))</f>
        <v/>
      </c>
      <c r="U111" s="40" t="str">
        <f aca="false">IF(OR($Q111="",$K111=0),"",$Q111/$K111)</f>
        <v/>
      </c>
      <c r="V111" s="35"/>
      <c r="W111" s="36" t="str">
        <f aca="false">IF(OR($Q111="",$V111=""),"",$Q111-$V111)</f>
        <v/>
      </c>
      <c r="X111" s="17" t="str">
        <f aca="false">IF($Q111="","",IF($Q111&gt;=$K111,"SI","NO"))</f>
        <v/>
      </c>
    </row>
    <row r="112" customFormat="false" ht="15" hidden="false" customHeight="false" outlineLevel="0" collapsed="false">
      <c r="A112" s="34"/>
      <c r="B112" s="34"/>
      <c r="C112" s="34"/>
      <c r="D112" s="34"/>
      <c r="E112" s="34"/>
      <c r="F112" s="34"/>
      <c r="G112" s="35"/>
      <c r="H112" s="35"/>
      <c r="I112" s="36" t="str">
        <f aca="false">IF($G112="","",$G112+IF($H112="",0,$H112))</f>
        <v/>
      </c>
      <c r="J112" s="36" t="str">
        <f aca="false">IF($I112="","",$I112*$H$3/100)</f>
        <v/>
      </c>
      <c r="K112" s="36" t="str">
        <f aca="false">IF($I112="","",$I112-$J112)</f>
        <v/>
      </c>
      <c r="L112" s="37"/>
      <c r="M112" s="37"/>
      <c r="N112" s="34"/>
      <c r="O112" s="38" t="str">
        <f aca="false">IF(OR($K112="",$N112="",$N112=0),"",$K112/$N112)</f>
        <v/>
      </c>
      <c r="P112" s="39" t="str">
        <f aca="false">IF(OR($M112="",$B$3=""),"",IF($J$3="mes_completo",(YEAR($B$3)-YEAR($M112))*12+(MONTH($B$3)-MONTH($M112))-IF(DAY($B$3)&lt;DAY($M112),1,0),($B$3-$M112)/365.25*12))</f>
        <v/>
      </c>
      <c r="Q112" s="36" t="str">
        <f aca="false">IF(OR($O112="",$P112=""),"",MIN($O112*$P112,$K112))</f>
        <v/>
      </c>
      <c r="R112" s="35"/>
      <c r="S112" s="36" t="str">
        <f aca="false">IF($Q112="","",$I112-$Q112)</f>
        <v/>
      </c>
      <c r="T112" s="36" t="str">
        <f aca="false">IF($Q112="","",$I112-$Q112-IF($R112="",0,$R112))</f>
        <v/>
      </c>
      <c r="U112" s="40" t="str">
        <f aca="false">IF(OR($Q112="",$K112=0),"",$Q112/$K112)</f>
        <v/>
      </c>
      <c r="V112" s="35"/>
      <c r="W112" s="36" t="str">
        <f aca="false">IF(OR($Q112="",$V112=""),"",$Q112-$V112)</f>
        <v/>
      </c>
      <c r="X112" s="17" t="str">
        <f aca="false">IF($Q112="","",IF($Q112&gt;=$K112,"SI","NO"))</f>
        <v/>
      </c>
    </row>
    <row r="113" customFormat="false" ht="15" hidden="false" customHeight="false" outlineLevel="0" collapsed="false">
      <c r="A113" s="34"/>
      <c r="B113" s="34"/>
      <c r="C113" s="34"/>
      <c r="D113" s="34"/>
      <c r="E113" s="34"/>
      <c r="F113" s="34"/>
      <c r="G113" s="35"/>
      <c r="H113" s="35"/>
      <c r="I113" s="36" t="str">
        <f aca="false">IF($G113="","",$G113+IF($H113="",0,$H113))</f>
        <v/>
      </c>
      <c r="J113" s="36" t="str">
        <f aca="false">IF($I113="","",$I113*$H$3/100)</f>
        <v/>
      </c>
      <c r="K113" s="36" t="str">
        <f aca="false">IF($I113="","",$I113-$J113)</f>
        <v/>
      </c>
      <c r="L113" s="37"/>
      <c r="M113" s="37"/>
      <c r="N113" s="34"/>
      <c r="O113" s="38" t="str">
        <f aca="false">IF(OR($K113="",$N113="",$N113=0),"",$K113/$N113)</f>
        <v/>
      </c>
      <c r="P113" s="39" t="str">
        <f aca="false">IF(OR($M113="",$B$3=""),"",IF($J$3="mes_completo",(YEAR($B$3)-YEAR($M113))*12+(MONTH($B$3)-MONTH($M113))-IF(DAY($B$3)&lt;DAY($M113),1,0),($B$3-$M113)/365.25*12))</f>
        <v/>
      </c>
      <c r="Q113" s="36" t="str">
        <f aca="false">IF(OR($O113="",$P113=""),"",MIN($O113*$P113,$K113))</f>
        <v/>
      </c>
      <c r="R113" s="35"/>
      <c r="S113" s="36" t="str">
        <f aca="false">IF($Q113="","",$I113-$Q113)</f>
        <v/>
      </c>
      <c r="T113" s="36" t="str">
        <f aca="false">IF($Q113="","",$I113-$Q113-IF($R113="",0,$R113))</f>
        <v/>
      </c>
      <c r="U113" s="40" t="str">
        <f aca="false">IF(OR($Q113="",$K113=0),"",$Q113/$K113)</f>
        <v/>
      </c>
      <c r="V113" s="35"/>
      <c r="W113" s="36" t="str">
        <f aca="false">IF(OR($Q113="",$V113=""),"",$Q113-$V113)</f>
        <v/>
      </c>
      <c r="X113" s="17" t="str">
        <f aca="false">IF($Q113="","",IF($Q113&gt;=$K113,"SI","NO"))</f>
        <v/>
      </c>
    </row>
    <row r="114" customFormat="false" ht="15" hidden="false" customHeight="false" outlineLevel="0" collapsed="false">
      <c r="A114" s="34"/>
      <c r="B114" s="34"/>
      <c r="C114" s="34"/>
      <c r="D114" s="34"/>
      <c r="E114" s="34"/>
      <c r="F114" s="34"/>
      <c r="G114" s="35"/>
      <c r="H114" s="35"/>
      <c r="I114" s="36" t="str">
        <f aca="false">IF($G114="","",$G114+IF($H114="",0,$H114))</f>
        <v/>
      </c>
      <c r="J114" s="36" t="str">
        <f aca="false">IF($I114="","",$I114*$H$3/100)</f>
        <v/>
      </c>
      <c r="K114" s="36" t="str">
        <f aca="false">IF($I114="","",$I114-$J114)</f>
        <v/>
      </c>
      <c r="L114" s="37"/>
      <c r="M114" s="37"/>
      <c r="N114" s="34"/>
      <c r="O114" s="38" t="str">
        <f aca="false">IF(OR($K114="",$N114="",$N114=0),"",$K114/$N114)</f>
        <v/>
      </c>
      <c r="P114" s="39" t="str">
        <f aca="false">IF(OR($M114="",$B$3=""),"",IF($J$3="mes_completo",(YEAR($B$3)-YEAR($M114))*12+(MONTH($B$3)-MONTH($M114))-IF(DAY($B$3)&lt;DAY($M114),1,0),($B$3-$M114)/365.25*12))</f>
        <v/>
      </c>
      <c r="Q114" s="36" t="str">
        <f aca="false">IF(OR($O114="",$P114=""),"",MIN($O114*$P114,$K114))</f>
        <v/>
      </c>
      <c r="R114" s="35"/>
      <c r="S114" s="36" t="str">
        <f aca="false">IF($Q114="","",$I114-$Q114)</f>
        <v/>
      </c>
      <c r="T114" s="36" t="str">
        <f aca="false">IF($Q114="","",$I114-$Q114-IF($R114="",0,$R114))</f>
        <v/>
      </c>
      <c r="U114" s="40" t="str">
        <f aca="false">IF(OR($Q114="",$K114=0),"",$Q114/$K114)</f>
        <v/>
      </c>
      <c r="V114" s="35"/>
      <c r="W114" s="36" t="str">
        <f aca="false">IF(OR($Q114="",$V114=""),"",$Q114-$V114)</f>
        <v/>
      </c>
      <c r="X114" s="17" t="str">
        <f aca="false">IF($Q114="","",IF($Q114&gt;=$K114,"SI","NO"))</f>
        <v/>
      </c>
    </row>
    <row r="115" customFormat="false" ht="15" hidden="false" customHeight="false" outlineLevel="0" collapsed="false">
      <c r="A115" s="34"/>
      <c r="B115" s="34"/>
      <c r="C115" s="34"/>
      <c r="D115" s="34"/>
      <c r="E115" s="34"/>
      <c r="F115" s="34"/>
      <c r="G115" s="35"/>
      <c r="H115" s="35"/>
      <c r="I115" s="36" t="str">
        <f aca="false">IF($G115="","",$G115+IF($H115="",0,$H115))</f>
        <v/>
      </c>
      <c r="J115" s="36" t="str">
        <f aca="false">IF($I115="","",$I115*$H$3/100)</f>
        <v/>
      </c>
      <c r="K115" s="36" t="str">
        <f aca="false">IF($I115="","",$I115-$J115)</f>
        <v/>
      </c>
      <c r="L115" s="37"/>
      <c r="M115" s="37"/>
      <c r="N115" s="34"/>
      <c r="O115" s="38" t="str">
        <f aca="false">IF(OR($K115="",$N115="",$N115=0),"",$K115/$N115)</f>
        <v/>
      </c>
      <c r="P115" s="39" t="str">
        <f aca="false">IF(OR($M115="",$B$3=""),"",IF($J$3="mes_completo",(YEAR($B$3)-YEAR($M115))*12+(MONTH($B$3)-MONTH($M115))-IF(DAY($B$3)&lt;DAY($M115),1,0),($B$3-$M115)/365.25*12))</f>
        <v/>
      </c>
      <c r="Q115" s="36" t="str">
        <f aca="false">IF(OR($O115="",$P115=""),"",MIN($O115*$P115,$K115))</f>
        <v/>
      </c>
      <c r="R115" s="35"/>
      <c r="S115" s="36" t="str">
        <f aca="false">IF($Q115="","",$I115-$Q115)</f>
        <v/>
      </c>
      <c r="T115" s="36" t="str">
        <f aca="false">IF($Q115="","",$I115-$Q115-IF($R115="",0,$R115))</f>
        <v/>
      </c>
      <c r="U115" s="40" t="str">
        <f aca="false">IF(OR($Q115="",$K115=0),"",$Q115/$K115)</f>
        <v/>
      </c>
      <c r="V115" s="35"/>
      <c r="W115" s="36" t="str">
        <f aca="false">IF(OR($Q115="",$V115=""),"",$Q115-$V115)</f>
        <v/>
      </c>
      <c r="X115" s="17" t="str">
        <f aca="false">IF($Q115="","",IF($Q115&gt;=$K115,"SI","NO"))</f>
        <v/>
      </c>
    </row>
    <row r="116" customFormat="false" ht="15" hidden="false" customHeight="false" outlineLevel="0" collapsed="false">
      <c r="A116" s="34"/>
      <c r="B116" s="34"/>
      <c r="C116" s="34"/>
      <c r="D116" s="34"/>
      <c r="E116" s="34"/>
      <c r="F116" s="34"/>
      <c r="G116" s="35"/>
      <c r="H116" s="35"/>
      <c r="I116" s="36" t="str">
        <f aca="false">IF($G116="","",$G116+IF($H116="",0,$H116))</f>
        <v/>
      </c>
      <c r="J116" s="36" t="str">
        <f aca="false">IF($I116="","",$I116*$H$3/100)</f>
        <v/>
      </c>
      <c r="K116" s="36" t="str">
        <f aca="false">IF($I116="","",$I116-$J116)</f>
        <v/>
      </c>
      <c r="L116" s="37"/>
      <c r="M116" s="37"/>
      <c r="N116" s="34"/>
      <c r="O116" s="38" t="str">
        <f aca="false">IF(OR($K116="",$N116="",$N116=0),"",$K116/$N116)</f>
        <v/>
      </c>
      <c r="P116" s="39" t="str">
        <f aca="false">IF(OR($M116="",$B$3=""),"",IF($J$3="mes_completo",(YEAR($B$3)-YEAR($M116))*12+(MONTH($B$3)-MONTH($M116))-IF(DAY($B$3)&lt;DAY($M116),1,0),($B$3-$M116)/365.25*12))</f>
        <v/>
      </c>
      <c r="Q116" s="36" t="str">
        <f aca="false">IF(OR($O116="",$P116=""),"",MIN($O116*$P116,$K116))</f>
        <v/>
      </c>
      <c r="R116" s="35"/>
      <c r="S116" s="36" t="str">
        <f aca="false">IF($Q116="","",$I116-$Q116)</f>
        <v/>
      </c>
      <c r="T116" s="36" t="str">
        <f aca="false">IF($Q116="","",$I116-$Q116-IF($R116="",0,$R116))</f>
        <v/>
      </c>
      <c r="U116" s="40" t="str">
        <f aca="false">IF(OR($Q116="",$K116=0),"",$Q116/$K116)</f>
        <v/>
      </c>
      <c r="V116" s="35"/>
      <c r="W116" s="36" t="str">
        <f aca="false">IF(OR($Q116="",$V116=""),"",$Q116-$V116)</f>
        <v/>
      </c>
      <c r="X116" s="17" t="str">
        <f aca="false">IF($Q116="","",IF($Q116&gt;=$K116,"SI","NO"))</f>
        <v/>
      </c>
    </row>
    <row r="117" customFormat="false" ht="15" hidden="false" customHeight="false" outlineLevel="0" collapsed="false">
      <c r="A117" s="34"/>
      <c r="B117" s="34"/>
      <c r="C117" s="34"/>
      <c r="D117" s="34"/>
      <c r="E117" s="34"/>
      <c r="F117" s="34"/>
      <c r="G117" s="35"/>
      <c r="H117" s="35"/>
      <c r="I117" s="36" t="str">
        <f aca="false">IF($G117="","",$G117+IF($H117="",0,$H117))</f>
        <v/>
      </c>
      <c r="J117" s="36" t="str">
        <f aca="false">IF($I117="","",$I117*$H$3/100)</f>
        <v/>
      </c>
      <c r="K117" s="36" t="str">
        <f aca="false">IF($I117="","",$I117-$J117)</f>
        <v/>
      </c>
      <c r="L117" s="37"/>
      <c r="M117" s="37"/>
      <c r="N117" s="34"/>
      <c r="O117" s="38" t="str">
        <f aca="false">IF(OR($K117="",$N117="",$N117=0),"",$K117/$N117)</f>
        <v/>
      </c>
      <c r="P117" s="39" t="str">
        <f aca="false">IF(OR($M117="",$B$3=""),"",IF($J$3="mes_completo",(YEAR($B$3)-YEAR($M117))*12+(MONTH($B$3)-MONTH($M117))-IF(DAY($B$3)&lt;DAY($M117),1,0),($B$3-$M117)/365.25*12))</f>
        <v/>
      </c>
      <c r="Q117" s="36" t="str">
        <f aca="false">IF(OR($O117="",$P117=""),"",MIN($O117*$P117,$K117))</f>
        <v/>
      </c>
      <c r="R117" s="35"/>
      <c r="S117" s="36" t="str">
        <f aca="false">IF($Q117="","",$I117-$Q117)</f>
        <v/>
      </c>
      <c r="T117" s="36" t="str">
        <f aca="false">IF($Q117="","",$I117-$Q117-IF($R117="",0,$R117))</f>
        <v/>
      </c>
      <c r="U117" s="40" t="str">
        <f aca="false">IF(OR($Q117="",$K117=0),"",$Q117/$K117)</f>
        <v/>
      </c>
      <c r="V117" s="35"/>
      <c r="W117" s="36" t="str">
        <f aca="false">IF(OR($Q117="",$V117=""),"",$Q117-$V117)</f>
        <v/>
      </c>
      <c r="X117" s="17" t="str">
        <f aca="false">IF($Q117="","",IF($Q117&gt;=$K117,"SI","NO"))</f>
        <v/>
      </c>
    </row>
    <row r="118" customFormat="false" ht="15" hidden="false" customHeight="false" outlineLevel="0" collapsed="false">
      <c r="A118" s="34"/>
      <c r="B118" s="34"/>
      <c r="C118" s="34"/>
      <c r="D118" s="34"/>
      <c r="E118" s="34"/>
      <c r="F118" s="34"/>
      <c r="G118" s="35"/>
      <c r="H118" s="35"/>
      <c r="I118" s="36" t="str">
        <f aca="false">IF($G118="","",$G118+IF($H118="",0,$H118))</f>
        <v/>
      </c>
      <c r="J118" s="36" t="str">
        <f aca="false">IF($I118="","",$I118*$H$3/100)</f>
        <v/>
      </c>
      <c r="K118" s="36" t="str">
        <f aca="false">IF($I118="","",$I118-$J118)</f>
        <v/>
      </c>
      <c r="L118" s="37"/>
      <c r="M118" s="37"/>
      <c r="N118" s="34"/>
      <c r="O118" s="38" t="str">
        <f aca="false">IF(OR($K118="",$N118="",$N118=0),"",$K118/$N118)</f>
        <v/>
      </c>
      <c r="P118" s="39" t="str">
        <f aca="false">IF(OR($M118="",$B$3=""),"",IF($J$3="mes_completo",(YEAR($B$3)-YEAR($M118))*12+(MONTH($B$3)-MONTH($M118))-IF(DAY($B$3)&lt;DAY($M118),1,0),($B$3-$M118)/365.25*12))</f>
        <v/>
      </c>
      <c r="Q118" s="36" t="str">
        <f aca="false">IF(OR($O118="",$P118=""),"",MIN($O118*$P118,$K118))</f>
        <v/>
      </c>
      <c r="R118" s="35"/>
      <c r="S118" s="36" t="str">
        <f aca="false">IF($Q118="","",$I118-$Q118)</f>
        <v/>
      </c>
      <c r="T118" s="36" t="str">
        <f aca="false">IF($Q118="","",$I118-$Q118-IF($R118="",0,$R118))</f>
        <v/>
      </c>
      <c r="U118" s="40" t="str">
        <f aca="false">IF(OR($Q118="",$K118=0),"",$Q118/$K118)</f>
        <v/>
      </c>
      <c r="V118" s="35"/>
      <c r="W118" s="36" t="str">
        <f aca="false">IF(OR($Q118="",$V118=""),"",$Q118-$V118)</f>
        <v/>
      </c>
      <c r="X118" s="17" t="str">
        <f aca="false">IF($Q118="","",IF($Q118&gt;=$K118,"SI","NO"))</f>
        <v/>
      </c>
    </row>
    <row r="119" customFormat="false" ht="15" hidden="false" customHeight="false" outlineLevel="0" collapsed="false">
      <c r="A119" s="34"/>
      <c r="B119" s="34"/>
      <c r="C119" s="34"/>
      <c r="D119" s="34"/>
      <c r="E119" s="34"/>
      <c r="F119" s="34"/>
      <c r="G119" s="35"/>
      <c r="H119" s="35"/>
      <c r="I119" s="36" t="str">
        <f aca="false">IF($G119="","",$G119+IF($H119="",0,$H119))</f>
        <v/>
      </c>
      <c r="J119" s="36" t="str">
        <f aca="false">IF($I119="","",$I119*$H$3/100)</f>
        <v/>
      </c>
      <c r="K119" s="36" t="str">
        <f aca="false">IF($I119="","",$I119-$J119)</f>
        <v/>
      </c>
      <c r="L119" s="37"/>
      <c r="M119" s="37"/>
      <c r="N119" s="34"/>
      <c r="O119" s="38" t="str">
        <f aca="false">IF(OR($K119="",$N119="",$N119=0),"",$K119/$N119)</f>
        <v/>
      </c>
      <c r="P119" s="39" t="str">
        <f aca="false">IF(OR($M119="",$B$3=""),"",IF($J$3="mes_completo",(YEAR($B$3)-YEAR($M119))*12+(MONTH($B$3)-MONTH($M119))-IF(DAY($B$3)&lt;DAY($M119),1,0),($B$3-$M119)/365.25*12))</f>
        <v/>
      </c>
      <c r="Q119" s="36" t="str">
        <f aca="false">IF(OR($O119="",$P119=""),"",MIN($O119*$P119,$K119))</f>
        <v/>
      </c>
      <c r="R119" s="35"/>
      <c r="S119" s="36" t="str">
        <f aca="false">IF($Q119="","",$I119-$Q119)</f>
        <v/>
      </c>
      <c r="T119" s="36" t="str">
        <f aca="false">IF($Q119="","",$I119-$Q119-IF($R119="",0,$R119))</f>
        <v/>
      </c>
      <c r="U119" s="40" t="str">
        <f aca="false">IF(OR($Q119="",$K119=0),"",$Q119/$K119)</f>
        <v/>
      </c>
      <c r="V119" s="35"/>
      <c r="W119" s="36" t="str">
        <f aca="false">IF(OR($Q119="",$V119=""),"",$Q119-$V119)</f>
        <v/>
      </c>
      <c r="X119" s="17" t="str">
        <f aca="false">IF($Q119="","",IF($Q119&gt;=$K119,"SI","NO"))</f>
        <v/>
      </c>
    </row>
    <row r="120" customFormat="false" ht="15" hidden="false" customHeight="false" outlineLevel="0" collapsed="false">
      <c r="A120" s="34"/>
      <c r="B120" s="34"/>
      <c r="C120" s="34"/>
      <c r="D120" s="34"/>
      <c r="E120" s="34"/>
      <c r="F120" s="34"/>
      <c r="G120" s="35"/>
      <c r="H120" s="35"/>
      <c r="I120" s="36" t="str">
        <f aca="false">IF($G120="","",$G120+IF($H120="",0,$H120))</f>
        <v/>
      </c>
      <c r="J120" s="36" t="str">
        <f aca="false">IF($I120="","",$I120*$H$3/100)</f>
        <v/>
      </c>
      <c r="K120" s="36" t="str">
        <f aca="false">IF($I120="","",$I120-$J120)</f>
        <v/>
      </c>
      <c r="L120" s="37"/>
      <c r="M120" s="37"/>
      <c r="N120" s="34"/>
      <c r="O120" s="38" t="str">
        <f aca="false">IF(OR($K120="",$N120="",$N120=0),"",$K120/$N120)</f>
        <v/>
      </c>
      <c r="P120" s="39" t="str">
        <f aca="false">IF(OR($M120="",$B$3=""),"",IF($J$3="mes_completo",(YEAR($B$3)-YEAR($M120))*12+(MONTH($B$3)-MONTH($M120))-IF(DAY($B$3)&lt;DAY($M120),1,0),($B$3-$M120)/365.25*12))</f>
        <v/>
      </c>
      <c r="Q120" s="36" t="str">
        <f aca="false">IF(OR($O120="",$P120=""),"",MIN($O120*$P120,$K120))</f>
        <v/>
      </c>
      <c r="R120" s="35"/>
      <c r="S120" s="36" t="str">
        <f aca="false">IF($Q120="","",$I120-$Q120)</f>
        <v/>
      </c>
      <c r="T120" s="36" t="str">
        <f aca="false">IF($Q120="","",$I120-$Q120-IF($R120="",0,$R120))</f>
        <v/>
      </c>
      <c r="U120" s="40" t="str">
        <f aca="false">IF(OR($Q120="",$K120=0),"",$Q120/$K120)</f>
        <v/>
      </c>
      <c r="V120" s="35"/>
      <c r="W120" s="36" t="str">
        <f aca="false">IF(OR($Q120="",$V120=""),"",$Q120-$V120)</f>
        <v/>
      </c>
      <c r="X120" s="17" t="str">
        <f aca="false">IF($Q120="","",IF($Q120&gt;=$K120,"SI","NO"))</f>
        <v/>
      </c>
    </row>
    <row r="121" customFormat="false" ht="15" hidden="false" customHeight="false" outlineLevel="0" collapsed="false">
      <c r="A121" s="34"/>
      <c r="B121" s="34"/>
      <c r="C121" s="34"/>
      <c r="D121" s="34"/>
      <c r="E121" s="34"/>
      <c r="F121" s="34"/>
      <c r="G121" s="35"/>
      <c r="H121" s="35"/>
      <c r="I121" s="36" t="str">
        <f aca="false">IF($G121="","",$G121+IF($H121="",0,$H121))</f>
        <v/>
      </c>
      <c r="J121" s="36" t="str">
        <f aca="false">IF($I121="","",$I121*$H$3/100)</f>
        <v/>
      </c>
      <c r="K121" s="36" t="str">
        <f aca="false">IF($I121="","",$I121-$J121)</f>
        <v/>
      </c>
      <c r="L121" s="37"/>
      <c r="M121" s="37"/>
      <c r="N121" s="34"/>
      <c r="O121" s="38" t="str">
        <f aca="false">IF(OR($K121="",$N121="",$N121=0),"",$K121/$N121)</f>
        <v/>
      </c>
      <c r="P121" s="39" t="str">
        <f aca="false">IF(OR($M121="",$B$3=""),"",IF($J$3="mes_completo",(YEAR($B$3)-YEAR($M121))*12+(MONTH($B$3)-MONTH($M121))-IF(DAY($B$3)&lt;DAY($M121),1,0),($B$3-$M121)/365.25*12))</f>
        <v/>
      </c>
      <c r="Q121" s="36" t="str">
        <f aca="false">IF(OR($O121="",$P121=""),"",MIN($O121*$P121,$K121))</f>
        <v/>
      </c>
      <c r="R121" s="35"/>
      <c r="S121" s="36" t="str">
        <f aca="false">IF($Q121="","",$I121-$Q121)</f>
        <v/>
      </c>
      <c r="T121" s="36" t="str">
        <f aca="false">IF($Q121="","",$I121-$Q121-IF($R121="",0,$R121))</f>
        <v/>
      </c>
      <c r="U121" s="40" t="str">
        <f aca="false">IF(OR($Q121="",$K121=0),"",$Q121/$K121)</f>
        <v/>
      </c>
      <c r="V121" s="35"/>
      <c r="W121" s="36" t="str">
        <f aca="false">IF(OR($Q121="",$V121=""),"",$Q121-$V121)</f>
        <v/>
      </c>
      <c r="X121" s="17" t="str">
        <f aca="false">IF($Q121="","",IF($Q121&gt;=$K121,"SI","NO"))</f>
        <v/>
      </c>
    </row>
    <row r="122" customFormat="false" ht="15" hidden="false" customHeight="false" outlineLevel="0" collapsed="false">
      <c r="A122" s="34"/>
      <c r="B122" s="34"/>
      <c r="C122" s="34"/>
      <c r="D122" s="34"/>
      <c r="E122" s="34"/>
      <c r="F122" s="34"/>
      <c r="G122" s="35"/>
      <c r="H122" s="35"/>
      <c r="I122" s="36" t="str">
        <f aca="false">IF($G122="","",$G122+IF($H122="",0,$H122))</f>
        <v/>
      </c>
      <c r="J122" s="36" t="str">
        <f aca="false">IF($I122="","",$I122*$H$3/100)</f>
        <v/>
      </c>
      <c r="K122" s="36" t="str">
        <f aca="false">IF($I122="","",$I122-$J122)</f>
        <v/>
      </c>
      <c r="L122" s="37"/>
      <c r="M122" s="37"/>
      <c r="N122" s="34"/>
      <c r="O122" s="38" t="str">
        <f aca="false">IF(OR($K122="",$N122="",$N122=0),"",$K122/$N122)</f>
        <v/>
      </c>
      <c r="P122" s="39" t="str">
        <f aca="false">IF(OR($M122="",$B$3=""),"",IF($J$3="mes_completo",(YEAR($B$3)-YEAR($M122))*12+(MONTH($B$3)-MONTH($M122))-IF(DAY($B$3)&lt;DAY($M122),1,0),($B$3-$M122)/365.25*12))</f>
        <v/>
      </c>
      <c r="Q122" s="36" t="str">
        <f aca="false">IF(OR($O122="",$P122=""),"",MIN($O122*$P122,$K122))</f>
        <v/>
      </c>
      <c r="R122" s="35"/>
      <c r="S122" s="36" t="str">
        <f aca="false">IF($Q122="","",$I122-$Q122)</f>
        <v/>
      </c>
      <c r="T122" s="36" t="str">
        <f aca="false">IF($Q122="","",$I122-$Q122-IF($R122="",0,$R122))</f>
        <v/>
      </c>
      <c r="U122" s="40" t="str">
        <f aca="false">IF(OR($Q122="",$K122=0),"",$Q122/$K122)</f>
        <v/>
      </c>
      <c r="V122" s="35"/>
      <c r="W122" s="36" t="str">
        <f aca="false">IF(OR($Q122="",$V122=""),"",$Q122-$V122)</f>
        <v/>
      </c>
      <c r="X122" s="17" t="str">
        <f aca="false">IF($Q122="","",IF($Q122&gt;=$K122,"SI","NO"))</f>
        <v/>
      </c>
    </row>
    <row r="123" customFormat="false" ht="15" hidden="false" customHeight="false" outlineLevel="0" collapsed="false">
      <c r="A123" s="34"/>
      <c r="B123" s="34"/>
      <c r="C123" s="34"/>
      <c r="D123" s="34"/>
      <c r="E123" s="34"/>
      <c r="F123" s="34"/>
      <c r="G123" s="35"/>
      <c r="H123" s="35"/>
      <c r="I123" s="36" t="str">
        <f aca="false">IF($G123="","",$G123+IF($H123="",0,$H123))</f>
        <v/>
      </c>
      <c r="J123" s="36" t="str">
        <f aca="false">IF($I123="","",$I123*$H$3/100)</f>
        <v/>
      </c>
      <c r="K123" s="36" t="str">
        <f aca="false">IF($I123="","",$I123-$J123)</f>
        <v/>
      </c>
      <c r="L123" s="37"/>
      <c r="M123" s="37"/>
      <c r="N123" s="34"/>
      <c r="O123" s="38" t="str">
        <f aca="false">IF(OR($K123="",$N123="",$N123=0),"",$K123/$N123)</f>
        <v/>
      </c>
      <c r="P123" s="39" t="str">
        <f aca="false">IF(OR($M123="",$B$3=""),"",IF($J$3="mes_completo",(YEAR($B$3)-YEAR($M123))*12+(MONTH($B$3)-MONTH($M123))-IF(DAY($B$3)&lt;DAY($M123),1,0),($B$3-$M123)/365.25*12))</f>
        <v/>
      </c>
      <c r="Q123" s="36" t="str">
        <f aca="false">IF(OR($O123="",$P123=""),"",MIN($O123*$P123,$K123))</f>
        <v/>
      </c>
      <c r="R123" s="35"/>
      <c r="S123" s="36" t="str">
        <f aca="false">IF($Q123="","",$I123-$Q123)</f>
        <v/>
      </c>
      <c r="T123" s="36" t="str">
        <f aca="false">IF($Q123="","",$I123-$Q123-IF($R123="",0,$R123))</f>
        <v/>
      </c>
      <c r="U123" s="40" t="str">
        <f aca="false">IF(OR($Q123="",$K123=0),"",$Q123/$K123)</f>
        <v/>
      </c>
      <c r="V123" s="35"/>
      <c r="W123" s="36" t="str">
        <f aca="false">IF(OR($Q123="",$V123=""),"",$Q123-$V123)</f>
        <v/>
      </c>
      <c r="X123" s="17" t="str">
        <f aca="false">IF($Q123="","",IF($Q123&gt;=$K123,"SI","NO"))</f>
        <v/>
      </c>
    </row>
    <row r="124" customFormat="false" ht="15" hidden="false" customHeight="false" outlineLevel="0" collapsed="false">
      <c r="A124" s="34"/>
      <c r="B124" s="34"/>
      <c r="C124" s="34"/>
      <c r="D124" s="34"/>
      <c r="E124" s="34"/>
      <c r="F124" s="34"/>
      <c r="G124" s="35"/>
      <c r="H124" s="35"/>
      <c r="I124" s="36" t="str">
        <f aca="false">IF($G124="","",$G124+IF($H124="",0,$H124))</f>
        <v/>
      </c>
      <c r="J124" s="36" t="str">
        <f aca="false">IF($I124="","",$I124*$H$3/100)</f>
        <v/>
      </c>
      <c r="K124" s="36" t="str">
        <f aca="false">IF($I124="","",$I124-$J124)</f>
        <v/>
      </c>
      <c r="L124" s="37"/>
      <c r="M124" s="37"/>
      <c r="N124" s="34"/>
      <c r="O124" s="38" t="str">
        <f aca="false">IF(OR($K124="",$N124="",$N124=0),"",$K124/$N124)</f>
        <v/>
      </c>
      <c r="P124" s="39" t="str">
        <f aca="false">IF(OR($M124="",$B$3=""),"",IF($J$3="mes_completo",(YEAR($B$3)-YEAR($M124))*12+(MONTH($B$3)-MONTH($M124))-IF(DAY($B$3)&lt;DAY($M124),1,0),($B$3-$M124)/365.25*12))</f>
        <v/>
      </c>
      <c r="Q124" s="36" t="str">
        <f aca="false">IF(OR($O124="",$P124=""),"",MIN($O124*$P124,$K124))</f>
        <v/>
      </c>
      <c r="R124" s="35"/>
      <c r="S124" s="36" t="str">
        <f aca="false">IF($Q124="","",$I124-$Q124)</f>
        <v/>
      </c>
      <c r="T124" s="36" t="str">
        <f aca="false">IF($Q124="","",$I124-$Q124-IF($R124="",0,$R124))</f>
        <v/>
      </c>
      <c r="U124" s="40" t="str">
        <f aca="false">IF(OR($Q124="",$K124=0),"",$Q124/$K124)</f>
        <v/>
      </c>
      <c r="V124" s="35"/>
      <c r="W124" s="36" t="str">
        <f aca="false">IF(OR($Q124="",$V124=""),"",$Q124-$V124)</f>
        <v/>
      </c>
      <c r="X124" s="17" t="str">
        <f aca="false">IF($Q124="","",IF($Q124&gt;=$K124,"SI","NO"))</f>
        <v/>
      </c>
    </row>
    <row r="125" customFormat="false" ht="15" hidden="false" customHeight="false" outlineLevel="0" collapsed="false">
      <c r="A125" s="34"/>
      <c r="B125" s="34"/>
      <c r="C125" s="34"/>
      <c r="D125" s="34"/>
      <c r="E125" s="34"/>
      <c r="F125" s="34"/>
      <c r="G125" s="35"/>
      <c r="H125" s="35"/>
      <c r="I125" s="36" t="str">
        <f aca="false">IF($G125="","",$G125+IF($H125="",0,$H125))</f>
        <v/>
      </c>
      <c r="J125" s="36" t="str">
        <f aca="false">IF($I125="","",$I125*$H$3/100)</f>
        <v/>
      </c>
      <c r="K125" s="36" t="str">
        <f aca="false">IF($I125="","",$I125-$J125)</f>
        <v/>
      </c>
      <c r="L125" s="37"/>
      <c r="M125" s="37"/>
      <c r="N125" s="34"/>
      <c r="O125" s="38" t="str">
        <f aca="false">IF(OR($K125="",$N125="",$N125=0),"",$K125/$N125)</f>
        <v/>
      </c>
      <c r="P125" s="39" t="str">
        <f aca="false">IF(OR($M125="",$B$3=""),"",IF($J$3="mes_completo",(YEAR($B$3)-YEAR($M125))*12+(MONTH($B$3)-MONTH($M125))-IF(DAY($B$3)&lt;DAY($M125),1,0),($B$3-$M125)/365.25*12))</f>
        <v/>
      </c>
      <c r="Q125" s="36" t="str">
        <f aca="false">IF(OR($O125="",$P125=""),"",MIN($O125*$P125,$K125))</f>
        <v/>
      </c>
      <c r="R125" s="35"/>
      <c r="S125" s="36" t="str">
        <f aca="false">IF($Q125="","",$I125-$Q125)</f>
        <v/>
      </c>
      <c r="T125" s="36" t="str">
        <f aca="false">IF($Q125="","",$I125-$Q125-IF($R125="",0,$R125))</f>
        <v/>
      </c>
      <c r="U125" s="40" t="str">
        <f aca="false">IF(OR($Q125="",$K125=0),"",$Q125/$K125)</f>
        <v/>
      </c>
      <c r="V125" s="35"/>
      <c r="W125" s="36" t="str">
        <f aca="false">IF(OR($Q125="",$V125=""),"",$Q125-$V125)</f>
        <v/>
      </c>
      <c r="X125" s="17" t="str">
        <f aca="false">IF($Q125="","",IF($Q125&gt;=$K125,"SI","NO"))</f>
        <v/>
      </c>
    </row>
    <row r="126" customFormat="false" ht="15" hidden="false" customHeight="false" outlineLevel="0" collapsed="false">
      <c r="A126" s="34"/>
      <c r="B126" s="34"/>
      <c r="C126" s="34"/>
      <c r="D126" s="34"/>
      <c r="E126" s="34"/>
      <c r="F126" s="34"/>
      <c r="G126" s="35"/>
      <c r="H126" s="35"/>
      <c r="I126" s="36" t="str">
        <f aca="false">IF($G126="","",$G126+IF($H126="",0,$H126))</f>
        <v/>
      </c>
      <c r="J126" s="36" t="str">
        <f aca="false">IF($I126="","",$I126*$H$3/100)</f>
        <v/>
      </c>
      <c r="K126" s="36" t="str">
        <f aca="false">IF($I126="","",$I126-$J126)</f>
        <v/>
      </c>
      <c r="L126" s="37"/>
      <c r="M126" s="37"/>
      <c r="N126" s="34"/>
      <c r="O126" s="38" t="str">
        <f aca="false">IF(OR($K126="",$N126="",$N126=0),"",$K126/$N126)</f>
        <v/>
      </c>
      <c r="P126" s="39" t="str">
        <f aca="false">IF(OR($M126="",$B$3=""),"",IF($J$3="mes_completo",(YEAR($B$3)-YEAR($M126))*12+(MONTH($B$3)-MONTH($M126))-IF(DAY($B$3)&lt;DAY($M126),1,0),($B$3-$M126)/365.25*12))</f>
        <v/>
      </c>
      <c r="Q126" s="36" t="str">
        <f aca="false">IF(OR($O126="",$P126=""),"",MIN($O126*$P126,$K126))</f>
        <v/>
      </c>
      <c r="R126" s="35"/>
      <c r="S126" s="36" t="str">
        <f aca="false">IF($Q126="","",$I126-$Q126)</f>
        <v/>
      </c>
      <c r="T126" s="36" t="str">
        <f aca="false">IF($Q126="","",$I126-$Q126-IF($R126="",0,$R126))</f>
        <v/>
      </c>
      <c r="U126" s="40" t="str">
        <f aca="false">IF(OR($Q126="",$K126=0),"",$Q126/$K126)</f>
        <v/>
      </c>
      <c r="V126" s="35"/>
      <c r="W126" s="36" t="str">
        <f aca="false">IF(OR($Q126="",$V126=""),"",$Q126-$V126)</f>
        <v/>
      </c>
      <c r="X126" s="17" t="str">
        <f aca="false">IF($Q126="","",IF($Q126&gt;=$K126,"SI","NO"))</f>
        <v/>
      </c>
    </row>
    <row r="127" customFormat="false" ht="15" hidden="false" customHeight="false" outlineLevel="0" collapsed="false">
      <c r="A127" s="34"/>
      <c r="B127" s="34"/>
      <c r="C127" s="34"/>
      <c r="D127" s="34"/>
      <c r="E127" s="34"/>
      <c r="F127" s="34"/>
      <c r="G127" s="35"/>
      <c r="H127" s="35"/>
      <c r="I127" s="36" t="str">
        <f aca="false">IF($G127="","",$G127+IF($H127="",0,$H127))</f>
        <v/>
      </c>
      <c r="J127" s="36" t="str">
        <f aca="false">IF($I127="","",$I127*$H$3/100)</f>
        <v/>
      </c>
      <c r="K127" s="36" t="str">
        <f aca="false">IF($I127="","",$I127-$J127)</f>
        <v/>
      </c>
      <c r="L127" s="37"/>
      <c r="M127" s="37"/>
      <c r="N127" s="34"/>
      <c r="O127" s="38" t="str">
        <f aca="false">IF(OR($K127="",$N127="",$N127=0),"",$K127/$N127)</f>
        <v/>
      </c>
      <c r="P127" s="39" t="str">
        <f aca="false">IF(OR($M127="",$B$3=""),"",IF($J$3="mes_completo",(YEAR($B$3)-YEAR($M127))*12+(MONTH($B$3)-MONTH($M127))-IF(DAY($B$3)&lt;DAY($M127),1,0),($B$3-$M127)/365.25*12))</f>
        <v/>
      </c>
      <c r="Q127" s="36" t="str">
        <f aca="false">IF(OR($O127="",$P127=""),"",MIN($O127*$P127,$K127))</f>
        <v/>
      </c>
      <c r="R127" s="35"/>
      <c r="S127" s="36" t="str">
        <f aca="false">IF($Q127="","",$I127-$Q127)</f>
        <v/>
      </c>
      <c r="T127" s="36" t="str">
        <f aca="false">IF($Q127="","",$I127-$Q127-IF($R127="",0,$R127))</f>
        <v/>
      </c>
      <c r="U127" s="40" t="str">
        <f aca="false">IF(OR($Q127="",$K127=0),"",$Q127/$K127)</f>
        <v/>
      </c>
      <c r="V127" s="35"/>
      <c r="W127" s="36" t="str">
        <f aca="false">IF(OR($Q127="",$V127=""),"",$Q127-$V127)</f>
        <v/>
      </c>
      <c r="X127" s="17" t="str">
        <f aca="false">IF($Q127="","",IF($Q127&gt;=$K127,"SI","NO"))</f>
        <v/>
      </c>
    </row>
    <row r="128" customFormat="false" ht="15" hidden="false" customHeight="false" outlineLevel="0" collapsed="false">
      <c r="A128" s="34"/>
      <c r="B128" s="34"/>
      <c r="C128" s="34"/>
      <c r="D128" s="34"/>
      <c r="E128" s="34"/>
      <c r="F128" s="34"/>
      <c r="G128" s="35"/>
      <c r="H128" s="35"/>
      <c r="I128" s="36" t="str">
        <f aca="false">IF($G128="","",$G128+IF($H128="",0,$H128))</f>
        <v/>
      </c>
      <c r="J128" s="36" t="str">
        <f aca="false">IF($I128="","",$I128*$H$3/100)</f>
        <v/>
      </c>
      <c r="K128" s="36" t="str">
        <f aca="false">IF($I128="","",$I128-$J128)</f>
        <v/>
      </c>
      <c r="L128" s="37"/>
      <c r="M128" s="37"/>
      <c r="N128" s="34"/>
      <c r="O128" s="38" t="str">
        <f aca="false">IF(OR($K128="",$N128="",$N128=0),"",$K128/$N128)</f>
        <v/>
      </c>
      <c r="P128" s="39" t="str">
        <f aca="false">IF(OR($M128="",$B$3=""),"",IF($J$3="mes_completo",(YEAR($B$3)-YEAR($M128))*12+(MONTH($B$3)-MONTH($M128))-IF(DAY($B$3)&lt;DAY($M128),1,0),($B$3-$M128)/365.25*12))</f>
        <v/>
      </c>
      <c r="Q128" s="36" t="str">
        <f aca="false">IF(OR($O128="",$P128=""),"",MIN($O128*$P128,$K128))</f>
        <v/>
      </c>
      <c r="R128" s="35"/>
      <c r="S128" s="36" t="str">
        <f aca="false">IF($Q128="","",$I128-$Q128)</f>
        <v/>
      </c>
      <c r="T128" s="36" t="str">
        <f aca="false">IF($Q128="","",$I128-$Q128-IF($R128="",0,$R128))</f>
        <v/>
      </c>
      <c r="U128" s="40" t="str">
        <f aca="false">IF(OR($Q128="",$K128=0),"",$Q128/$K128)</f>
        <v/>
      </c>
      <c r="V128" s="35"/>
      <c r="W128" s="36" t="str">
        <f aca="false">IF(OR($Q128="",$V128=""),"",$Q128-$V128)</f>
        <v/>
      </c>
      <c r="X128" s="17" t="str">
        <f aca="false">IF($Q128="","",IF($Q128&gt;=$K128,"SI","NO"))</f>
        <v/>
      </c>
    </row>
    <row r="129" customFormat="false" ht="15" hidden="false" customHeight="false" outlineLevel="0" collapsed="false">
      <c r="A129" s="34"/>
      <c r="B129" s="34"/>
      <c r="C129" s="34"/>
      <c r="D129" s="34"/>
      <c r="E129" s="34"/>
      <c r="F129" s="34"/>
      <c r="G129" s="35"/>
      <c r="H129" s="35"/>
      <c r="I129" s="36" t="str">
        <f aca="false">IF($G129="","",$G129+IF($H129="",0,$H129))</f>
        <v/>
      </c>
      <c r="J129" s="36" t="str">
        <f aca="false">IF($I129="","",$I129*$H$3/100)</f>
        <v/>
      </c>
      <c r="K129" s="36" t="str">
        <f aca="false">IF($I129="","",$I129-$J129)</f>
        <v/>
      </c>
      <c r="L129" s="37"/>
      <c r="M129" s="37"/>
      <c r="N129" s="34"/>
      <c r="O129" s="38" t="str">
        <f aca="false">IF(OR($K129="",$N129="",$N129=0),"",$K129/$N129)</f>
        <v/>
      </c>
      <c r="P129" s="39" t="str">
        <f aca="false">IF(OR($M129="",$B$3=""),"",IF($J$3="mes_completo",(YEAR($B$3)-YEAR($M129))*12+(MONTH($B$3)-MONTH($M129))-IF(DAY($B$3)&lt;DAY($M129),1,0),($B$3-$M129)/365.25*12))</f>
        <v/>
      </c>
      <c r="Q129" s="36" t="str">
        <f aca="false">IF(OR($O129="",$P129=""),"",MIN($O129*$P129,$K129))</f>
        <v/>
      </c>
      <c r="R129" s="35"/>
      <c r="S129" s="36" t="str">
        <f aca="false">IF($Q129="","",$I129-$Q129)</f>
        <v/>
      </c>
      <c r="T129" s="36" t="str">
        <f aca="false">IF($Q129="","",$I129-$Q129-IF($R129="",0,$R129))</f>
        <v/>
      </c>
      <c r="U129" s="40" t="str">
        <f aca="false">IF(OR($Q129="",$K129=0),"",$Q129/$K129)</f>
        <v/>
      </c>
      <c r="V129" s="35"/>
      <c r="W129" s="36" t="str">
        <f aca="false">IF(OR($Q129="",$V129=""),"",$Q129-$V129)</f>
        <v/>
      </c>
      <c r="X129" s="17" t="str">
        <f aca="false">IF($Q129="","",IF($Q129&gt;=$K129,"SI","NO"))</f>
        <v/>
      </c>
    </row>
    <row r="130" customFormat="false" ht="15" hidden="false" customHeight="false" outlineLevel="0" collapsed="false">
      <c r="A130" s="34"/>
      <c r="B130" s="34"/>
      <c r="C130" s="34"/>
      <c r="D130" s="34"/>
      <c r="E130" s="34"/>
      <c r="F130" s="34"/>
      <c r="G130" s="35"/>
      <c r="H130" s="35"/>
      <c r="I130" s="36" t="str">
        <f aca="false">IF($G130="","",$G130+IF($H130="",0,$H130))</f>
        <v/>
      </c>
      <c r="J130" s="36" t="str">
        <f aca="false">IF($I130="","",$I130*$H$3/100)</f>
        <v/>
      </c>
      <c r="K130" s="36" t="str">
        <f aca="false">IF($I130="","",$I130-$J130)</f>
        <v/>
      </c>
      <c r="L130" s="37"/>
      <c r="M130" s="37"/>
      <c r="N130" s="34"/>
      <c r="O130" s="38" t="str">
        <f aca="false">IF(OR($K130="",$N130="",$N130=0),"",$K130/$N130)</f>
        <v/>
      </c>
      <c r="P130" s="39" t="str">
        <f aca="false">IF(OR($M130="",$B$3=""),"",IF($J$3="mes_completo",(YEAR($B$3)-YEAR($M130))*12+(MONTH($B$3)-MONTH($M130))-IF(DAY($B$3)&lt;DAY($M130),1,0),($B$3-$M130)/365.25*12))</f>
        <v/>
      </c>
      <c r="Q130" s="36" t="str">
        <f aca="false">IF(OR($O130="",$P130=""),"",MIN($O130*$P130,$K130))</f>
        <v/>
      </c>
      <c r="R130" s="35"/>
      <c r="S130" s="36" t="str">
        <f aca="false">IF($Q130="","",$I130-$Q130)</f>
        <v/>
      </c>
      <c r="T130" s="36" t="str">
        <f aca="false">IF($Q130="","",$I130-$Q130-IF($R130="",0,$R130))</f>
        <v/>
      </c>
      <c r="U130" s="40" t="str">
        <f aca="false">IF(OR($Q130="",$K130=0),"",$Q130/$K130)</f>
        <v/>
      </c>
      <c r="V130" s="35"/>
      <c r="W130" s="36" t="str">
        <f aca="false">IF(OR($Q130="",$V130=""),"",$Q130-$V130)</f>
        <v/>
      </c>
      <c r="X130" s="17" t="str">
        <f aca="false">IF($Q130="","",IF($Q130&gt;=$K130,"SI","NO"))</f>
        <v/>
      </c>
    </row>
    <row r="131" customFormat="false" ht="15" hidden="false" customHeight="false" outlineLevel="0" collapsed="false">
      <c r="A131" s="34"/>
      <c r="B131" s="34"/>
      <c r="C131" s="34"/>
      <c r="D131" s="34"/>
      <c r="E131" s="34"/>
      <c r="F131" s="34"/>
      <c r="G131" s="35"/>
      <c r="H131" s="35"/>
      <c r="I131" s="36" t="str">
        <f aca="false">IF($G131="","",$G131+IF($H131="",0,$H131))</f>
        <v/>
      </c>
      <c r="J131" s="36" t="str">
        <f aca="false">IF($I131="","",$I131*$H$3/100)</f>
        <v/>
      </c>
      <c r="K131" s="36" t="str">
        <f aca="false">IF($I131="","",$I131-$J131)</f>
        <v/>
      </c>
      <c r="L131" s="37"/>
      <c r="M131" s="37"/>
      <c r="N131" s="34"/>
      <c r="O131" s="38" t="str">
        <f aca="false">IF(OR($K131="",$N131="",$N131=0),"",$K131/$N131)</f>
        <v/>
      </c>
      <c r="P131" s="39" t="str">
        <f aca="false">IF(OR($M131="",$B$3=""),"",IF($J$3="mes_completo",(YEAR($B$3)-YEAR($M131))*12+(MONTH($B$3)-MONTH($M131))-IF(DAY($B$3)&lt;DAY($M131),1,0),($B$3-$M131)/365.25*12))</f>
        <v/>
      </c>
      <c r="Q131" s="36" t="str">
        <f aca="false">IF(OR($O131="",$P131=""),"",MIN($O131*$P131,$K131))</f>
        <v/>
      </c>
      <c r="R131" s="35"/>
      <c r="S131" s="36" t="str">
        <f aca="false">IF($Q131="","",$I131-$Q131)</f>
        <v/>
      </c>
      <c r="T131" s="36" t="str">
        <f aca="false">IF($Q131="","",$I131-$Q131-IF($R131="",0,$R131))</f>
        <v/>
      </c>
      <c r="U131" s="40" t="str">
        <f aca="false">IF(OR($Q131="",$K131=0),"",$Q131/$K131)</f>
        <v/>
      </c>
      <c r="V131" s="35"/>
      <c r="W131" s="36" t="str">
        <f aca="false">IF(OR($Q131="",$V131=""),"",$Q131-$V131)</f>
        <v/>
      </c>
      <c r="X131" s="17" t="str">
        <f aca="false">IF($Q131="","",IF($Q131&gt;=$K131,"SI","NO"))</f>
        <v/>
      </c>
    </row>
    <row r="132" customFormat="false" ht="15" hidden="false" customHeight="false" outlineLevel="0" collapsed="false">
      <c r="A132" s="34"/>
      <c r="B132" s="34"/>
      <c r="C132" s="34"/>
      <c r="D132" s="34"/>
      <c r="E132" s="34"/>
      <c r="F132" s="34"/>
      <c r="G132" s="35"/>
      <c r="H132" s="35"/>
      <c r="I132" s="36" t="str">
        <f aca="false">IF($G132="","",$G132+IF($H132="",0,$H132))</f>
        <v/>
      </c>
      <c r="J132" s="36" t="str">
        <f aca="false">IF($I132="","",$I132*$H$3/100)</f>
        <v/>
      </c>
      <c r="K132" s="36" t="str">
        <f aca="false">IF($I132="","",$I132-$J132)</f>
        <v/>
      </c>
      <c r="L132" s="37"/>
      <c r="M132" s="37"/>
      <c r="N132" s="34"/>
      <c r="O132" s="38" t="str">
        <f aca="false">IF(OR($K132="",$N132="",$N132=0),"",$K132/$N132)</f>
        <v/>
      </c>
      <c r="P132" s="39" t="str">
        <f aca="false">IF(OR($M132="",$B$3=""),"",IF($J$3="mes_completo",(YEAR($B$3)-YEAR($M132))*12+(MONTH($B$3)-MONTH($M132))-IF(DAY($B$3)&lt;DAY($M132),1,0),($B$3-$M132)/365.25*12))</f>
        <v/>
      </c>
      <c r="Q132" s="36" t="str">
        <f aca="false">IF(OR($O132="",$P132=""),"",MIN($O132*$P132,$K132))</f>
        <v/>
      </c>
      <c r="R132" s="35"/>
      <c r="S132" s="36" t="str">
        <f aca="false">IF($Q132="","",$I132-$Q132)</f>
        <v/>
      </c>
      <c r="T132" s="36" t="str">
        <f aca="false">IF($Q132="","",$I132-$Q132-IF($R132="",0,$R132))</f>
        <v/>
      </c>
      <c r="U132" s="40" t="str">
        <f aca="false">IF(OR($Q132="",$K132=0),"",$Q132/$K132)</f>
        <v/>
      </c>
      <c r="V132" s="35"/>
      <c r="W132" s="36" t="str">
        <f aca="false">IF(OR($Q132="",$V132=""),"",$Q132-$V132)</f>
        <v/>
      </c>
      <c r="X132" s="17" t="str">
        <f aca="false">IF($Q132="","",IF($Q132&gt;=$K132,"SI","NO"))</f>
        <v/>
      </c>
    </row>
    <row r="133" customFormat="false" ht="15" hidden="false" customHeight="false" outlineLevel="0" collapsed="false">
      <c r="A133" s="34"/>
      <c r="B133" s="34"/>
      <c r="C133" s="34"/>
      <c r="D133" s="34"/>
      <c r="E133" s="34"/>
      <c r="F133" s="34"/>
      <c r="G133" s="35"/>
      <c r="H133" s="35"/>
      <c r="I133" s="36" t="str">
        <f aca="false">IF($G133="","",$G133+IF($H133="",0,$H133))</f>
        <v/>
      </c>
      <c r="J133" s="36" t="str">
        <f aca="false">IF($I133="","",$I133*$H$3/100)</f>
        <v/>
      </c>
      <c r="K133" s="36" t="str">
        <f aca="false">IF($I133="","",$I133-$J133)</f>
        <v/>
      </c>
      <c r="L133" s="37"/>
      <c r="M133" s="37"/>
      <c r="N133" s="34"/>
      <c r="O133" s="38" t="str">
        <f aca="false">IF(OR($K133="",$N133="",$N133=0),"",$K133/$N133)</f>
        <v/>
      </c>
      <c r="P133" s="39" t="str">
        <f aca="false">IF(OR($M133="",$B$3=""),"",IF($J$3="mes_completo",(YEAR($B$3)-YEAR($M133))*12+(MONTH($B$3)-MONTH($M133))-IF(DAY($B$3)&lt;DAY($M133),1,0),($B$3-$M133)/365.25*12))</f>
        <v/>
      </c>
      <c r="Q133" s="36" t="str">
        <f aca="false">IF(OR($O133="",$P133=""),"",MIN($O133*$P133,$K133))</f>
        <v/>
      </c>
      <c r="R133" s="35"/>
      <c r="S133" s="36" t="str">
        <f aca="false">IF($Q133="","",$I133-$Q133)</f>
        <v/>
      </c>
      <c r="T133" s="36" t="str">
        <f aca="false">IF($Q133="","",$I133-$Q133-IF($R133="",0,$R133))</f>
        <v/>
      </c>
      <c r="U133" s="40" t="str">
        <f aca="false">IF(OR($Q133="",$K133=0),"",$Q133/$K133)</f>
        <v/>
      </c>
      <c r="V133" s="35"/>
      <c r="W133" s="36" t="str">
        <f aca="false">IF(OR($Q133="",$V133=""),"",$Q133-$V133)</f>
        <v/>
      </c>
      <c r="X133" s="17" t="str">
        <f aca="false">IF($Q133="","",IF($Q133&gt;=$K133,"SI","NO"))</f>
        <v/>
      </c>
    </row>
    <row r="134" customFormat="false" ht="15" hidden="false" customHeight="false" outlineLevel="0" collapsed="false">
      <c r="A134" s="34"/>
      <c r="B134" s="34"/>
      <c r="C134" s="34"/>
      <c r="D134" s="34"/>
      <c r="E134" s="34"/>
      <c r="F134" s="34"/>
      <c r="G134" s="35"/>
      <c r="H134" s="35"/>
      <c r="I134" s="36" t="str">
        <f aca="false">IF($G134="","",$G134+IF($H134="",0,$H134))</f>
        <v/>
      </c>
      <c r="J134" s="36" t="str">
        <f aca="false">IF($I134="","",$I134*$H$3/100)</f>
        <v/>
      </c>
      <c r="K134" s="36" t="str">
        <f aca="false">IF($I134="","",$I134-$J134)</f>
        <v/>
      </c>
      <c r="L134" s="37"/>
      <c r="M134" s="37"/>
      <c r="N134" s="34"/>
      <c r="O134" s="38" t="str">
        <f aca="false">IF(OR($K134="",$N134="",$N134=0),"",$K134/$N134)</f>
        <v/>
      </c>
      <c r="P134" s="39" t="str">
        <f aca="false">IF(OR($M134="",$B$3=""),"",IF($J$3="mes_completo",(YEAR($B$3)-YEAR($M134))*12+(MONTH($B$3)-MONTH($M134))-IF(DAY($B$3)&lt;DAY($M134),1,0),($B$3-$M134)/365.25*12))</f>
        <v/>
      </c>
      <c r="Q134" s="36" t="str">
        <f aca="false">IF(OR($O134="",$P134=""),"",MIN($O134*$P134,$K134))</f>
        <v/>
      </c>
      <c r="R134" s="35"/>
      <c r="S134" s="36" t="str">
        <f aca="false">IF($Q134="","",$I134-$Q134)</f>
        <v/>
      </c>
      <c r="T134" s="36" t="str">
        <f aca="false">IF($Q134="","",$I134-$Q134-IF($R134="",0,$R134))</f>
        <v/>
      </c>
      <c r="U134" s="40" t="str">
        <f aca="false">IF(OR($Q134="",$K134=0),"",$Q134/$K134)</f>
        <v/>
      </c>
      <c r="V134" s="35"/>
      <c r="W134" s="36" t="str">
        <f aca="false">IF(OR($Q134="",$V134=""),"",$Q134-$V134)</f>
        <v/>
      </c>
      <c r="X134" s="17" t="str">
        <f aca="false">IF($Q134="","",IF($Q134&gt;=$K134,"SI","NO"))</f>
        <v/>
      </c>
    </row>
    <row r="135" customFormat="false" ht="15" hidden="false" customHeight="false" outlineLevel="0" collapsed="false">
      <c r="A135" s="34"/>
      <c r="B135" s="34"/>
      <c r="C135" s="34"/>
      <c r="D135" s="34"/>
      <c r="E135" s="34"/>
      <c r="F135" s="34"/>
      <c r="G135" s="35"/>
      <c r="H135" s="35"/>
      <c r="I135" s="36" t="str">
        <f aca="false">IF($G135="","",$G135+IF($H135="",0,$H135))</f>
        <v/>
      </c>
      <c r="J135" s="36" t="str">
        <f aca="false">IF($I135="","",$I135*$H$3/100)</f>
        <v/>
      </c>
      <c r="K135" s="36" t="str">
        <f aca="false">IF($I135="","",$I135-$J135)</f>
        <v/>
      </c>
      <c r="L135" s="37"/>
      <c r="M135" s="37"/>
      <c r="N135" s="34"/>
      <c r="O135" s="38" t="str">
        <f aca="false">IF(OR($K135="",$N135="",$N135=0),"",$K135/$N135)</f>
        <v/>
      </c>
      <c r="P135" s="39" t="str">
        <f aca="false">IF(OR($M135="",$B$3=""),"",IF($J$3="mes_completo",(YEAR($B$3)-YEAR($M135))*12+(MONTH($B$3)-MONTH($M135))-IF(DAY($B$3)&lt;DAY($M135),1,0),($B$3-$M135)/365.25*12))</f>
        <v/>
      </c>
      <c r="Q135" s="36" t="str">
        <f aca="false">IF(OR($O135="",$P135=""),"",MIN($O135*$P135,$K135))</f>
        <v/>
      </c>
      <c r="R135" s="35"/>
      <c r="S135" s="36" t="str">
        <f aca="false">IF($Q135="","",$I135-$Q135)</f>
        <v/>
      </c>
      <c r="T135" s="36" t="str">
        <f aca="false">IF($Q135="","",$I135-$Q135-IF($R135="",0,$R135))</f>
        <v/>
      </c>
      <c r="U135" s="40" t="str">
        <f aca="false">IF(OR($Q135="",$K135=0),"",$Q135/$K135)</f>
        <v/>
      </c>
      <c r="V135" s="35"/>
      <c r="W135" s="36" t="str">
        <f aca="false">IF(OR($Q135="",$V135=""),"",$Q135-$V135)</f>
        <v/>
      </c>
      <c r="X135" s="17" t="str">
        <f aca="false">IF($Q135="","",IF($Q135&gt;=$K135,"SI","NO"))</f>
        <v/>
      </c>
    </row>
    <row r="136" customFormat="false" ht="15" hidden="false" customHeight="false" outlineLevel="0" collapsed="false">
      <c r="A136" s="34"/>
      <c r="B136" s="34"/>
      <c r="C136" s="34"/>
      <c r="D136" s="34"/>
      <c r="E136" s="34"/>
      <c r="F136" s="34"/>
      <c r="G136" s="35"/>
      <c r="H136" s="35"/>
      <c r="I136" s="36" t="str">
        <f aca="false">IF($G136="","",$G136+IF($H136="",0,$H136))</f>
        <v/>
      </c>
      <c r="J136" s="36" t="str">
        <f aca="false">IF($I136="","",$I136*$H$3/100)</f>
        <v/>
      </c>
      <c r="K136" s="36" t="str">
        <f aca="false">IF($I136="","",$I136-$J136)</f>
        <v/>
      </c>
      <c r="L136" s="37"/>
      <c r="M136" s="37"/>
      <c r="N136" s="34"/>
      <c r="O136" s="38" t="str">
        <f aca="false">IF(OR($K136="",$N136="",$N136=0),"",$K136/$N136)</f>
        <v/>
      </c>
      <c r="P136" s="39" t="str">
        <f aca="false">IF(OR($M136="",$B$3=""),"",IF($J$3="mes_completo",(YEAR($B$3)-YEAR($M136))*12+(MONTH($B$3)-MONTH($M136))-IF(DAY($B$3)&lt;DAY($M136),1,0),($B$3-$M136)/365.25*12))</f>
        <v/>
      </c>
      <c r="Q136" s="36" t="str">
        <f aca="false">IF(OR($O136="",$P136=""),"",MIN($O136*$P136,$K136))</f>
        <v/>
      </c>
      <c r="R136" s="35"/>
      <c r="S136" s="36" t="str">
        <f aca="false">IF($Q136="","",$I136-$Q136)</f>
        <v/>
      </c>
      <c r="T136" s="36" t="str">
        <f aca="false">IF($Q136="","",$I136-$Q136-IF($R136="",0,$R136))</f>
        <v/>
      </c>
      <c r="U136" s="40" t="str">
        <f aca="false">IF(OR($Q136="",$K136=0),"",$Q136/$K136)</f>
        <v/>
      </c>
      <c r="V136" s="35"/>
      <c r="W136" s="36" t="str">
        <f aca="false">IF(OR($Q136="",$V136=""),"",$Q136-$V136)</f>
        <v/>
      </c>
      <c r="X136" s="17" t="str">
        <f aca="false">IF($Q136="","",IF($Q136&gt;=$K136,"SI","NO"))</f>
        <v/>
      </c>
    </row>
    <row r="137" customFormat="false" ht="15" hidden="false" customHeight="false" outlineLevel="0" collapsed="false">
      <c r="A137" s="34"/>
      <c r="B137" s="34"/>
      <c r="C137" s="34"/>
      <c r="D137" s="34"/>
      <c r="E137" s="34"/>
      <c r="F137" s="34"/>
      <c r="G137" s="35"/>
      <c r="H137" s="35"/>
      <c r="I137" s="36" t="str">
        <f aca="false">IF($G137="","",$G137+IF($H137="",0,$H137))</f>
        <v/>
      </c>
      <c r="J137" s="36" t="str">
        <f aca="false">IF($I137="","",$I137*$H$3/100)</f>
        <v/>
      </c>
      <c r="K137" s="36" t="str">
        <f aca="false">IF($I137="","",$I137-$J137)</f>
        <v/>
      </c>
      <c r="L137" s="37"/>
      <c r="M137" s="37"/>
      <c r="N137" s="34"/>
      <c r="O137" s="38" t="str">
        <f aca="false">IF(OR($K137="",$N137="",$N137=0),"",$K137/$N137)</f>
        <v/>
      </c>
      <c r="P137" s="39" t="str">
        <f aca="false">IF(OR($M137="",$B$3=""),"",IF($J$3="mes_completo",(YEAR($B$3)-YEAR($M137))*12+(MONTH($B$3)-MONTH($M137))-IF(DAY($B$3)&lt;DAY($M137),1,0),($B$3-$M137)/365.25*12))</f>
        <v/>
      </c>
      <c r="Q137" s="36" t="str">
        <f aca="false">IF(OR($O137="",$P137=""),"",MIN($O137*$P137,$K137))</f>
        <v/>
      </c>
      <c r="R137" s="35"/>
      <c r="S137" s="36" t="str">
        <f aca="false">IF($Q137="","",$I137-$Q137)</f>
        <v/>
      </c>
      <c r="T137" s="36" t="str">
        <f aca="false">IF($Q137="","",$I137-$Q137-IF($R137="",0,$R137))</f>
        <v/>
      </c>
      <c r="U137" s="40" t="str">
        <f aca="false">IF(OR($Q137="",$K137=0),"",$Q137/$K137)</f>
        <v/>
      </c>
      <c r="V137" s="35"/>
      <c r="W137" s="36" t="str">
        <f aca="false">IF(OR($Q137="",$V137=""),"",$Q137-$V137)</f>
        <v/>
      </c>
      <c r="X137" s="17" t="str">
        <f aca="false">IF($Q137="","",IF($Q137&gt;=$K137,"SI","NO"))</f>
        <v/>
      </c>
    </row>
    <row r="138" customFormat="false" ht="15" hidden="false" customHeight="false" outlineLevel="0" collapsed="false">
      <c r="A138" s="34"/>
      <c r="B138" s="34"/>
      <c r="C138" s="34"/>
      <c r="D138" s="34"/>
      <c r="E138" s="34"/>
      <c r="F138" s="34"/>
      <c r="G138" s="35"/>
      <c r="H138" s="35"/>
      <c r="I138" s="36" t="str">
        <f aca="false">IF($G138="","",$G138+IF($H138="",0,$H138))</f>
        <v/>
      </c>
      <c r="J138" s="36" t="str">
        <f aca="false">IF($I138="","",$I138*$H$3/100)</f>
        <v/>
      </c>
      <c r="K138" s="36" t="str">
        <f aca="false">IF($I138="","",$I138-$J138)</f>
        <v/>
      </c>
      <c r="L138" s="37"/>
      <c r="M138" s="37"/>
      <c r="N138" s="34"/>
      <c r="O138" s="38" t="str">
        <f aca="false">IF(OR($K138="",$N138="",$N138=0),"",$K138/$N138)</f>
        <v/>
      </c>
      <c r="P138" s="39" t="str">
        <f aca="false">IF(OR($M138="",$B$3=""),"",IF($J$3="mes_completo",(YEAR($B$3)-YEAR($M138))*12+(MONTH($B$3)-MONTH($M138))-IF(DAY($B$3)&lt;DAY($M138),1,0),($B$3-$M138)/365.25*12))</f>
        <v/>
      </c>
      <c r="Q138" s="36" t="str">
        <f aca="false">IF(OR($O138="",$P138=""),"",MIN($O138*$P138,$K138))</f>
        <v/>
      </c>
      <c r="R138" s="35"/>
      <c r="S138" s="36" t="str">
        <f aca="false">IF($Q138="","",$I138-$Q138)</f>
        <v/>
      </c>
      <c r="T138" s="36" t="str">
        <f aca="false">IF($Q138="","",$I138-$Q138-IF($R138="",0,$R138))</f>
        <v/>
      </c>
      <c r="U138" s="40" t="str">
        <f aca="false">IF(OR($Q138="",$K138=0),"",$Q138/$K138)</f>
        <v/>
      </c>
      <c r="V138" s="35"/>
      <c r="W138" s="36" t="str">
        <f aca="false">IF(OR($Q138="",$V138=""),"",$Q138-$V138)</f>
        <v/>
      </c>
      <c r="X138" s="17" t="str">
        <f aca="false">IF($Q138="","",IF($Q138&gt;=$K138,"SI","NO"))</f>
        <v/>
      </c>
    </row>
    <row r="139" customFormat="false" ht="15" hidden="false" customHeight="false" outlineLevel="0" collapsed="false">
      <c r="A139" s="34"/>
      <c r="B139" s="34"/>
      <c r="C139" s="34"/>
      <c r="D139" s="34"/>
      <c r="E139" s="34"/>
      <c r="F139" s="34"/>
      <c r="G139" s="35"/>
      <c r="H139" s="35"/>
      <c r="I139" s="36" t="str">
        <f aca="false">IF($G139="","",$G139+IF($H139="",0,$H139))</f>
        <v/>
      </c>
      <c r="J139" s="36" t="str">
        <f aca="false">IF($I139="","",$I139*$H$3/100)</f>
        <v/>
      </c>
      <c r="K139" s="36" t="str">
        <f aca="false">IF($I139="","",$I139-$J139)</f>
        <v/>
      </c>
      <c r="L139" s="37"/>
      <c r="M139" s="37"/>
      <c r="N139" s="34"/>
      <c r="O139" s="38" t="str">
        <f aca="false">IF(OR($K139="",$N139="",$N139=0),"",$K139/$N139)</f>
        <v/>
      </c>
      <c r="P139" s="39" t="str">
        <f aca="false">IF(OR($M139="",$B$3=""),"",IF($J$3="mes_completo",(YEAR($B$3)-YEAR($M139))*12+(MONTH($B$3)-MONTH($M139))-IF(DAY($B$3)&lt;DAY($M139),1,0),($B$3-$M139)/365.25*12))</f>
        <v/>
      </c>
      <c r="Q139" s="36" t="str">
        <f aca="false">IF(OR($O139="",$P139=""),"",MIN($O139*$P139,$K139))</f>
        <v/>
      </c>
      <c r="R139" s="35"/>
      <c r="S139" s="36" t="str">
        <f aca="false">IF($Q139="","",$I139-$Q139)</f>
        <v/>
      </c>
      <c r="T139" s="36" t="str">
        <f aca="false">IF($Q139="","",$I139-$Q139-IF($R139="",0,$R139))</f>
        <v/>
      </c>
      <c r="U139" s="40" t="str">
        <f aca="false">IF(OR($Q139="",$K139=0),"",$Q139/$K139)</f>
        <v/>
      </c>
      <c r="V139" s="35"/>
      <c r="W139" s="36" t="str">
        <f aca="false">IF(OR($Q139="",$V139=""),"",$Q139-$V139)</f>
        <v/>
      </c>
      <c r="X139" s="17" t="str">
        <f aca="false">IF($Q139="","",IF($Q139&gt;=$K139,"SI","NO"))</f>
        <v/>
      </c>
    </row>
    <row r="140" customFormat="false" ht="15" hidden="false" customHeight="false" outlineLevel="0" collapsed="false">
      <c r="A140" s="34"/>
      <c r="B140" s="34"/>
      <c r="C140" s="34"/>
      <c r="D140" s="34"/>
      <c r="E140" s="34"/>
      <c r="F140" s="34"/>
      <c r="G140" s="35"/>
      <c r="H140" s="35"/>
      <c r="I140" s="36" t="str">
        <f aca="false">IF($G140="","",$G140+IF($H140="",0,$H140))</f>
        <v/>
      </c>
      <c r="J140" s="36" t="str">
        <f aca="false">IF($I140="","",$I140*$H$3/100)</f>
        <v/>
      </c>
      <c r="K140" s="36" t="str">
        <f aca="false">IF($I140="","",$I140-$J140)</f>
        <v/>
      </c>
      <c r="L140" s="37"/>
      <c r="M140" s="37"/>
      <c r="N140" s="34"/>
      <c r="O140" s="38" t="str">
        <f aca="false">IF(OR($K140="",$N140="",$N140=0),"",$K140/$N140)</f>
        <v/>
      </c>
      <c r="P140" s="39" t="str">
        <f aca="false">IF(OR($M140="",$B$3=""),"",IF($J$3="mes_completo",(YEAR($B$3)-YEAR($M140))*12+(MONTH($B$3)-MONTH($M140))-IF(DAY($B$3)&lt;DAY($M140),1,0),($B$3-$M140)/365.25*12))</f>
        <v/>
      </c>
      <c r="Q140" s="36" t="str">
        <f aca="false">IF(OR($O140="",$P140=""),"",MIN($O140*$P140,$K140))</f>
        <v/>
      </c>
      <c r="R140" s="35"/>
      <c r="S140" s="36" t="str">
        <f aca="false">IF($Q140="","",$I140-$Q140)</f>
        <v/>
      </c>
      <c r="T140" s="36" t="str">
        <f aca="false">IF($Q140="","",$I140-$Q140-IF($R140="",0,$R140))</f>
        <v/>
      </c>
      <c r="U140" s="40" t="str">
        <f aca="false">IF(OR($Q140="",$K140=0),"",$Q140/$K140)</f>
        <v/>
      </c>
      <c r="V140" s="35"/>
      <c r="W140" s="36" t="str">
        <f aca="false">IF(OR($Q140="",$V140=""),"",$Q140-$V140)</f>
        <v/>
      </c>
      <c r="X140" s="17" t="str">
        <f aca="false">IF($Q140="","",IF($Q140&gt;=$K140,"SI","NO"))</f>
        <v/>
      </c>
    </row>
    <row r="141" customFormat="false" ht="15" hidden="false" customHeight="false" outlineLevel="0" collapsed="false">
      <c r="A141" s="34"/>
      <c r="B141" s="34"/>
      <c r="C141" s="34"/>
      <c r="D141" s="34"/>
      <c r="E141" s="34"/>
      <c r="F141" s="34"/>
      <c r="G141" s="35"/>
      <c r="H141" s="35"/>
      <c r="I141" s="36" t="str">
        <f aca="false">IF($G141="","",$G141+IF($H141="",0,$H141))</f>
        <v/>
      </c>
      <c r="J141" s="36" t="str">
        <f aca="false">IF($I141="","",$I141*$H$3/100)</f>
        <v/>
      </c>
      <c r="K141" s="36" t="str">
        <f aca="false">IF($I141="","",$I141-$J141)</f>
        <v/>
      </c>
      <c r="L141" s="37"/>
      <c r="M141" s="37"/>
      <c r="N141" s="34"/>
      <c r="O141" s="38" t="str">
        <f aca="false">IF(OR($K141="",$N141="",$N141=0),"",$K141/$N141)</f>
        <v/>
      </c>
      <c r="P141" s="39" t="str">
        <f aca="false">IF(OR($M141="",$B$3=""),"",IF($J$3="mes_completo",(YEAR($B$3)-YEAR($M141))*12+(MONTH($B$3)-MONTH($M141))-IF(DAY($B$3)&lt;DAY($M141),1,0),($B$3-$M141)/365.25*12))</f>
        <v/>
      </c>
      <c r="Q141" s="36" t="str">
        <f aca="false">IF(OR($O141="",$P141=""),"",MIN($O141*$P141,$K141))</f>
        <v/>
      </c>
      <c r="R141" s="35"/>
      <c r="S141" s="36" t="str">
        <f aca="false">IF($Q141="","",$I141-$Q141)</f>
        <v/>
      </c>
      <c r="T141" s="36" t="str">
        <f aca="false">IF($Q141="","",$I141-$Q141-IF($R141="",0,$R141))</f>
        <v/>
      </c>
      <c r="U141" s="40" t="str">
        <f aca="false">IF(OR($Q141="",$K141=0),"",$Q141/$K141)</f>
        <v/>
      </c>
      <c r="V141" s="35"/>
      <c r="W141" s="36" t="str">
        <f aca="false">IF(OR($Q141="",$V141=""),"",$Q141-$V141)</f>
        <v/>
      </c>
      <c r="X141" s="17" t="str">
        <f aca="false">IF($Q141="","",IF($Q141&gt;=$K141,"SI","NO"))</f>
        <v/>
      </c>
    </row>
    <row r="142" customFormat="false" ht="15" hidden="false" customHeight="false" outlineLevel="0" collapsed="false">
      <c r="A142" s="34"/>
      <c r="B142" s="34"/>
      <c r="C142" s="34"/>
      <c r="D142" s="34"/>
      <c r="E142" s="34"/>
      <c r="F142" s="34"/>
      <c r="G142" s="35"/>
      <c r="H142" s="35"/>
      <c r="I142" s="36" t="str">
        <f aca="false">IF($G142="","",$G142+IF($H142="",0,$H142))</f>
        <v/>
      </c>
      <c r="J142" s="36" t="str">
        <f aca="false">IF($I142="","",$I142*$H$3/100)</f>
        <v/>
      </c>
      <c r="K142" s="36" t="str">
        <f aca="false">IF($I142="","",$I142-$J142)</f>
        <v/>
      </c>
      <c r="L142" s="37"/>
      <c r="M142" s="37"/>
      <c r="N142" s="34"/>
      <c r="O142" s="38" t="str">
        <f aca="false">IF(OR($K142="",$N142="",$N142=0),"",$K142/$N142)</f>
        <v/>
      </c>
      <c r="P142" s="39" t="str">
        <f aca="false">IF(OR($M142="",$B$3=""),"",IF($J$3="mes_completo",(YEAR($B$3)-YEAR($M142))*12+(MONTH($B$3)-MONTH($M142))-IF(DAY($B$3)&lt;DAY($M142),1,0),($B$3-$M142)/365.25*12))</f>
        <v/>
      </c>
      <c r="Q142" s="36" t="str">
        <f aca="false">IF(OR($O142="",$P142=""),"",MIN($O142*$P142,$K142))</f>
        <v/>
      </c>
      <c r="R142" s="35"/>
      <c r="S142" s="36" t="str">
        <f aca="false">IF($Q142="","",$I142-$Q142)</f>
        <v/>
      </c>
      <c r="T142" s="36" t="str">
        <f aca="false">IF($Q142="","",$I142-$Q142-IF($R142="",0,$R142))</f>
        <v/>
      </c>
      <c r="U142" s="40" t="str">
        <f aca="false">IF(OR($Q142="",$K142=0),"",$Q142/$K142)</f>
        <v/>
      </c>
      <c r="V142" s="35"/>
      <c r="W142" s="36" t="str">
        <f aca="false">IF(OR($Q142="",$V142=""),"",$Q142-$V142)</f>
        <v/>
      </c>
      <c r="X142" s="17" t="str">
        <f aca="false">IF($Q142="","",IF($Q142&gt;=$K142,"SI","NO"))</f>
        <v/>
      </c>
    </row>
    <row r="143" customFormat="false" ht="15" hidden="false" customHeight="false" outlineLevel="0" collapsed="false">
      <c r="A143" s="34"/>
      <c r="B143" s="34"/>
      <c r="C143" s="34"/>
      <c r="D143" s="34"/>
      <c r="E143" s="34"/>
      <c r="F143" s="34"/>
      <c r="G143" s="35"/>
      <c r="H143" s="35"/>
      <c r="I143" s="36" t="str">
        <f aca="false">IF($G143="","",$G143+IF($H143="",0,$H143))</f>
        <v/>
      </c>
      <c r="J143" s="36" t="str">
        <f aca="false">IF($I143="","",$I143*$H$3/100)</f>
        <v/>
      </c>
      <c r="K143" s="36" t="str">
        <f aca="false">IF($I143="","",$I143-$J143)</f>
        <v/>
      </c>
      <c r="L143" s="37"/>
      <c r="M143" s="37"/>
      <c r="N143" s="34"/>
      <c r="O143" s="38" t="str">
        <f aca="false">IF(OR($K143="",$N143="",$N143=0),"",$K143/$N143)</f>
        <v/>
      </c>
      <c r="P143" s="39" t="str">
        <f aca="false">IF(OR($M143="",$B$3=""),"",IF($J$3="mes_completo",(YEAR($B$3)-YEAR($M143))*12+(MONTH($B$3)-MONTH($M143))-IF(DAY($B$3)&lt;DAY($M143),1,0),($B$3-$M143)/365.25*12))</f>
        <v/>
      </c>
      <c r="Q143" s="36" t="str">
        <f aca="false">IF(OR($O143="",$P143=""),"",MIN($O143*$P143,$K143))</f>
        <v/>
      </c>
      <c r="R143" s="35"/>
      <c r="S143" s="36" t="str">
        <f aca="false">IF($Q143="","",$I143-$Q143)</f>
        <v/>
      </c>
      <c r="T143" s="36" t="str">
        <f aca="false">IF($Q143="","",$I143-$Q143-IF($R143="",0,$R143))</f>
        <v/>
      </c>
      <c r="U143" s="40" t="str">
        <f aca="false">IF(OR($Q143="",$K143=0),"",$Q143/$K143)</f>
        <v/>
      </c>
      <c r="V143" s="35"/>
      <c r="W143" s="36" t="str">
        <f aca="false">IF(OR($Q143="",$V143=""),"",$Q143-$V143)</f>
        <v/>
      </c>
      <c r="X143" s="17" t="str">
        <f aca="false">IF($Q143="","",IF($Q143&gt;=$K143,"SI","NO"))</f>
        <v/>
      </c>
    </row>
    <row r="144" customFormat="false" ht="15" hidden="false" customHeight="false" outlineLevel="0" collapsed="false">
      <c r="A144" s="34"/>
      <c r="B144" s="34"/>
      <c r="C144" s="34"/>
      <c r="D144" s="34"/>
      <c r="E144" s="34"/>
      <c r="F144" s="34"/>
      <c r="G144" s="35"/>
      <c r="H144" s="35"/>
      <c r="I144" s="36" t="str">
        <f aca="false">IF($G144="","",$G144+IF($H144="",0,$H144))</f>
        <v/>
      </c>
      <c r="J144" s="36" t="str">
        <f aca="false">IF($I144="","",$I144*$H$3/100)</f>
        <v/>
      </c>
      <c r="K144" s="36" t="str">
        <f aca="false">IF($I144="","",$I144-$J144)</f>
        <v/>
      </c>
      <c r="L144" s="37"/>
      <c r="M144" s="37"/>
      <c r="N144" s="34"/>
      <c r="O144" s="38" t="str">
        <f aca="false">IF(OR($K144="",$N144="",$N144=0),"",$K144/$N144)</f>
        <v/>
      </c>
      <c r="P144" s="39" t="str">
        <f aca="false">IF(OR($M144="",$B$3=""),"",IF($J$3="mes_completo",(YEAR($B$3)-YEAR($M144))*12+(MONTH($B$3)-MONTH($M144))-IF(DAY($B$3)&lt;DAY($M144),1,0),($B$3-$M144)/365.25*12))</f>
        <v/>
      </c>
      <c r="Q144" s="36" t="str">
        <f aca="false">IF(OR($O144="",$P144=""),"",MIN($O144*$P144,$K144))</f>
        <v/>
      </c>
      <c r="R144" s="35"/>
      <c r="S144" s="36" t="str">
        <f aca="false">IF($Q144="","",$I144-$Q144)</f>
        <v/>
      </c>
      <c r="T144" s="36" t="str">
        <f aca="false">IF($Q144="","",$I144-$Q144-IF($R144="",0,$R144))</f>
        <v/>
      </c>
      <c r="U144" s="40" t="str">
        <f aca="false">IF(OR($Q144="",$K144=0),"",$Q144/$K144)</f>
        <v/>
      </c>
      <c r="V144" s="35"/>
      <c r="W144" s="36" t="str">
        <f aca="false">IF(OR($Q144="",$V144=""),"",$Q144-$V144)</f>
        <v/>
      </c>
      <c r="X144" s="17" t="str">
        <f aca="false">IF($Q144="","",IF($Q144&gt;=$K144,"SI","NO"))</f>
        <v/>
      </c>
    </row>
    <row r="145" customFormat="false" ht="15" hidden="false" customHeight="false" outlineLevel="0" collapsed="false">
      <c r="A145" s="34"/>
      <c r="B145" s="34"/>
      <c r="C145" s="34"/>
      <c r="D145" s="34"/>
      <c r="E145" s="34"/>
      <c r="F145" s="34"/>
      <c r="G145" s="35"/>
      <c r="H145" s="35"/>
      <c r="I145" s="36" t="str">
        <f aca="false">IF($G145="","",$G145+IF($H145="",0,$H145))</f>
        <v/>
      </c>
      <c r="J145" s="36" t="str">
        <f aca="false">IF($I145="","",$I145*$H$3/100)</f>
        <v/>
      </c>
      <c r="K145" s="36" t="str">
        <f aca="false">IF($I145="","",$I145-$J145)</f>
        <v/>
      </c>
      <c r="L145" s="37"/>
      <c r="M145" s="37"/>
      <c r="N145" s="34"/>
      <c r="O145" s="38" t="str">
        <f aca="false">IF(OR($K145="",$N145="",$N145=0),"",$K145/$N145)</f>
        <v/>
      </c>
      <c r="P145" s="39" t="str">
        <f aca="false">IF(OR($M145="",$B$3=""),"",IF($J$3="mes_completo",(YEAR($B$3)-YEAR($M145))*12+(MONTH($B$3)-MONTH($M145))-IF(DAY($B$3)&lt;DAY($M145),1,0),($B$3-$M145)/365.25*12))</f>
        <v/>
      </c>
      <c r="Q145" s="36" t="str">
        <f aca="false">IF(OR($O145="",$P145=""),"",MIN($O145*$P145,$K145))</f>
        <v/>
      </c>
      <c r="R145" s="35"/>
      <c r="S145" s="36" t="str">
        <f aca="false">IF($Q145="","",$I145-$Q145)</f>
        <v/>
      </c>
      <c r="T145" s="36" t="str">
        <f aca="false">IF($Q145="","",$I145-$Q145-IF($R145="",0,$R145))</f>
        <v/>
      </c>
      <c r="U145" s="40" t="str">
        <f aca="false">IF(OR($Q145="",$K145=0),"",$Q145/$K145)</f>
        <v/>
      </c>
      <c r="V145" s="35"/>
      <c r="W145" s="36" t="str">
        <f aca="false">IF(OR($Q145="",$V145=""),"",$Q145-$V145)</f>
        <v/>
      </c>
      <c r="X145" s="17" t="str">
        <f aca="false">IF($Q145="","",IF($Q145&gt;=$K145,"SI","NO"))</f>
        <v/>
      </c>
    </row>
    <row r="146" customFormat="false" ht="15" hidden="false" customHeight="false" outlineLevel="0" collapsed="false">
      <c r="A146" s="34"/>
      <c r="B146" s="34"/>
      <c r="C146" s="34"/>
      <c r="D146" s="34"/>
      <c r="E146" s="34"/>
      <c r="F146" s="34"/>
      <c r="G146" s="35"/>
      <c r="H146" s="35"/>
      <c r="I146" s="36" t="str">
        <f aca="false">IF($G146="","",$G146+IF($H146="",0,$H146))</f>
        <v/>
      </c>
      <c r="J146" s="36" t="str">
        <f aca="false">IF($I146="","",$I146*$H$3/100)</f>
        <v/>
      </c>
      <c r="K146" s="36" t="str">
        <f aca="false">IF($I146="","",$I146-$J146)</f>
        <v/>
      </c>
      <c r="L146" s="37"/>
      <c r="M146" s="37"/>
      <c r="N146" s="34"/>
      <c r="O146" s="38" t="str">
        <f aca="false">IF(OR($K146="",$N146="",$N146=0),"",$K146/$N146)</f>
        <v/>
      </c>
      <c r="P146" s="39" t="str">
        <f aca="false">IF(OR($M146="",$B$3=""),"",IF($J$3="mes_completo",(YEAR($B$3)-YEAR($M146))*12+(MONTH($B$3)-MONTH($M146))-IF(DAY($B$3)&lt;DAY($M146),1,0),($B$3-$M146)/365.25*12))</f>
        <v/>
      </c>
      <c r="Q146" s="36" t="str">
        <f aca="false">IF(OR($O146="",$P146=""),"",MIN($O146*$P146,$K146))</f>
        <v/>
      </c>
      <c r="R146" s="35"/>
      <c r="S146" s="36" t="str">
        <f aca="false">IF($Q146="","",$I146-$Q146)</f>
        <v/>
      </c>
      <c r="T146" s="36" t="str">
        <f aca="false">IF($Q146="","",$I146-$Q146-IF($R146="",0,$R146))</f>
        <v/>
      </c>
      <c r="U146" s="40" t="str">
        <f aca="false">IF(OR($Q146="",$K146=0),"",$Q146/$K146)</f>
        <v/>
      </c>
      <c r="V146" s="35"/>
      <c r="W146" s="36" t="str">
        <f aca="false">IF(OR($Q146="",$V146=""),"",$Q146-$V146)</f>
        <v/>
      </c>
      <c r="X146" s="17" t="str">
        <f aca="false">IF($Q146="","",IF($Q146&gt;=$K146,"SI","NO"))</f>
        <v/>
      </c>
    </row>
    <row r="147" customFormat="false" ht="15" hidden="false" customHeight="false" outlineLevel="0" collapsed="false">
      <c r="A147" s="34"/>
      <c r="B147" s="34"/>
      <c r="C147" s="34"/>
      <c r="D147" s="34"/>
      <c r="E147" s="34"/>
      <c r="F147" s="34"/>
      <c r="G147" s="35"/>
      <c r="H147" s="35"/>
      <c r="I147" s="36" t="str">
        <f aca="false">IF($G147="","",$G147+IF($H147="",0,$H147))</f>
        <v/>
      </c>
      <c r="J147" s="36" t="str">
        <f aca="false">IF($I147="","",$I147*$H$3/100)</f>
        <v/>
      </c>
      <c r="K147" s="36" t="str">
        <f aca="false">IF($I147="","",$I147-$J147)</f>
        <v/>
      </c>
      <c r="L147" s="37"/>
      <c r="M147" s="37"/>
      <c r="N147" s="34"/>
      <c r="O147" s="38" t="str">
        <f aca="false">IF(OR($K147="",$N147="",$N147=0),"",$K147/$N147)</f>
        <v/>
      </c>
      <c r="P147" s="39" t="str">
        <f aca="false">IF(OR($M147="",$B$3=""),"",IF($J$3="mes_completo",(YEAR($B$3)-YEAR($M147))*12+(MONTH($B$3)-MONTH($M147))-IF(DAY($B$3)&lt;DAY($M147),1,0),($B$3-$M147)/365.25*12))</f>
        <v/>
      </c>
      <c r="Q147" s="36" t="str">
        <f aca="false">IF(OR($O147="",$P147=""),"",MIN($O147*$P147,$K147))</f>
        <v/>
      </c>
      <c r="R147" s="35"/>
      <c r="S147" s="36" t="str">
        <f aca="false">IF($Q147="","",$I147-$Q147)</f>
        <v/>
      </c>
      <c r="T147" s="36" t="str">
        <f aca="false">IF($Q147="","",$I147-$Q147-IF($R147="",0,$R147))</f>
        <v/>
      </c>
      <c r="U147" s="40" t="str">
        <f aca="false">IF(OR($Q147="",$K147=0),"",$Q147/$K147)</f>
        <v/>
      </c>
      <c r="V147" s="35"/>
      <c r="W147" s="36" t="str">
        <f aca="false">IF(OR($Q147="",$V147=""),"",$Q147-$V147)</f>
        <v/>
      </c>
      <c r="X147" s="17" t="str">
        <f aca="false">IF($Q147="","",IF($Q147&gt;=$K147,"SI","NO"))</f>
        <v/>
      </c>
    </row>
    <row r="148" customFormat="false" ht="15" hidden="false" customHeight="false" outlineLevel="0" collapsed="false">
      <c r="A148" s="34"/>
      <c r="B148" s="34"/>
      <c r="C148" s="34"/>
      <c r="D148" s="34"/>
      <c r="E148" s="34"/>
      <c r="F148" s="34"/>
      <c r="G148" s="35"/>
      <c r="H148" s="35"/>
      <c r="I148" s="36" t="str">
        <f aca="false">IF($G148="","",$G148+IF($H148="",0,$H148))</f>
        <v/>
      </c>
      <c r="J148" s="36" t="str">
        <f aca="false">IF($I148="","",$I148*$H$3/100)</f>
        <v/>
      </c>
      <c r="K148" s="36" t="str">
        <f aca="false">IF($I148="","",$I148-$J148)</f>
        <v/>
      </c>
      <c r="L148" s="37"/>
      <c r="M148" s="37"/>
      <c r="N148" s="34"/>
      <c r="O148" s="38" t="str">
        <f aca="false">IF(OR($K148="",$N148="",$N148=0),"",$K148/$N148)</f>
        <v/>
      </c>
      <c r="P148" s="39" t="str">
        <f aca="false">IF(OR($M148="",$B$3=""),"",IF($J$3="mes_completo",(YEAR($B$3)-YEAR($M148))*12+(MONTH($B$3)-MONTH($M148))-IF(DAY($B$3)&lt;DAY($M148),1,0),($B$3-$M148)/365.25*12))</f>
        <v/>
      </c>
      <c r="Q148" s="36" t="str">
        <f aca="false">IF(OR($O148="",$P148=""),"",MIN($O148*$P148,$K148))</f>
        <v/>
      </c>
      <c r="R148" s="35"/>
      <c r="S148" s="36" t="str">
        <f aca="false">IF($Q148="","",$I148-$Q148)</f>
        <v/>
      </c>
      <c r="T148" s="36" t="str">
        <f aca="false">IF($Q148="","",$I148-$Q148-IF($R148="",0,$R148))</f>
        <v/>
      </c>
      <c r="U148" s="40" t="str">
        <f aca="false">IF(OR($Q148="",$K148=0),"",$Q148/$K148)</f>
        <v/>
      </c>
      <c r="V148" s="35"/>
      <c r="W148" s="36" t="str">
        <f aca="false">IF(OR($Q148="",$V148=""),"",$Q148-$V148)</f>
        <v/>
      </c>
      <c r="X148" s="17" t="str">
        <f aca="false">IF($Q148="","",IF($Q148&gt;=$K148,"SI","NO"))</f>
        <v/>
      </c>
    </row>
    <row r="149" customFormat="false" ht="15" hidden="false" customHeight="false" outlineLevel="0" collapsed="false">
      <c r="A149" s="34"/>
      <c r="B149" s="34"/>
      <c r="C149" s="34"/>
      <c r="D149" s="34"/>
      <c r="E149" s="34"/>
      <c r="F149" s="34"/>
      <c r="G149" s="35"/>
      <c r="H149" s="35"/>
      <c r="I149" s="36" t="str">
        <f aca="false">IF($G149="","",$G149+IF($H149="",0,$H149))</f>
        <v/>
      </c>
      <c r="J149" s="36" t="str">
        <f aca="false">IF($I149="","",$I149*$H$3/100)</f>
        <v/>
      </c>
      <c r="K149" s="36" t="str">
        <f aca="false">IF($I149="","",$I149-$J149)</f>
        <v/>
      </c>
      <c r="L149" s="37"/>
      <c r="M149" s="37"/>
      <c r="N149" s="34"/>
      <c r="O149" s="38" t="str">
        <f aca="false">IF(OR($K149="",$N149="",$N149=0),"",$K149/$N149)</f>
        <v/>
      </c>
      <c r="P149" s="39" t="str">
        <f aca="false">IF(OR($M149="",$B$3=""),"",IF($J$3="mes_completo",(YEAR($B$3)-YEAR($M149))*12+(MONTH($B$3)-MONTH($M149))-IF(DAY($B$3)&lt;DAY($M149),1,0),($B$3-$M149)/365.25*12))</f>
        <v/>
      </c>
      <c r="Q149" s="36" t="str">
        <f aca="false">IF(OR($O149="",$P149=""),"",MIN($O149*$P149,$K149))</f>
        <v/>
      </c>
      <c r="R149" s="35"/>
      <c r="S149" s="36" t="str">
        <f aca="false">IF($Q149="","",$I149-$Q149)</f>
        <v/>
      </c>
      <c r="T149" s="36" t="str">
        <f aca="false">IF($Q149="","",$I149-$Q149-IF($R149="",0,$R149))</f>
        <v/>
      </c>
      <c r="U149" s="40" t="str">
        <f aca="false">IF(OR($Q149="",$K149=0),"",$Q149/$K149)</f>
        <v/>
      </c>
      <c r="V149" s="35"/>
      <c r="W149" s="36" t="str">
        <f aca="false">IF(OR($Q149="",$V149=""),"",$Q149-$V149)</f>
        <v/>
      </c>
      <c r="X149" s="17" t="str">
        <f aca="false">IF($Q149="","",IF($Q149&gt;=$K149,"SI","NO"))</f>
        <v/>
      </c>
    </row>
    <row r="150" customFormat="false" ht="15" hidden="false" customHeight="false" outlineLevel="0" collapsed="false">
      <c r="A150" s="34"/>
      <c r="B150" s="34"/>
      <c r="C150" s="34"/>
      <c r="D150" s="34"/>
      <c r="E150" s="34"/>
      <c r="F150" s="34"/>
      <c r="G150" s="35"/>
      <c r="H150" s="35"/>
      <c r="I150" s="36" t="str">
        <f aca="false">IF($G150="","",$G150+IF($H150="",0,$H150))</f>
        <v/>
      </c>
      <c r="J150" s="36" t="str">
        <f aca="false">IF($I150="","",$I150*$H$3/100)</f>
        <v/>
      </c>
      <c r="K150" s="36" t="str">
        <f aca="false">IF($I150="","",$I150-$J150)</f>
        <v/>
      </c>
      <c r="L150" s="37"/>
      <c r="M150" s="37"/>
      <c r="N150" s="34"/>
      <c r="O150" s="38" t="str">
        <f aca="false">IF(OR($K150="",$N150="",$N150=0),"",$K150/$N150)</f>
        <v/>
      </c>
      <c r="P150" s="39" t="str">
        <f aca="false">IF(OR($M150="",$B$3=""),"",IF($J$3="mes_completo",(YEAR($B$3)-YEAR($M150))*12+(MONTH($B$3)-MONTH($M150))-IF(DAY($B$3)&lt;DAY($M150),1,0),($B$3-$M150)/365.25*12))</f>
        <v/>
      </c>
      <c r="Q150" s="36" t="str">
        <f aca="false">IF(OR($O150="",$P150=""),"",MIN($O150*$P150,$K150))</f>
        <v/>
      </c>
      <c r="R150" s="35"/>
      <c r="S150" s="36" t="str">
        <f aca="false">IF($Q150="","",$I150-$Q150)</f>
        <v/>
      </c>
      <c r="T150" s="36" t="str">
        <f aca="false">IF($Q150="","",$I150-$Q150-IF($R150="",0,$R150))</f>
        <v/>
      </c>
      <c r="U150" s="40" t="str">
        <f aca="false">IF(OR($Q150="",$K150=0),"",$Q150/$K150)</f>
        <v/>
      </c>
      <c r="V150" s="35"/>
      <c r="W150" s="36" t="str">
        <f aca="false">IF(OR($Q150="",$V150=""),"",$Q150-$V150)</f>
        <v/>
      </c>
      <c r="X150" s="17" t="str">
        <f aca="false">IF($Q150="","",IF($Q150&gt;=$K150,"SI","NO"))</f>
        <v/>
      </c>
    </row>
    <row r="151" customFormat="false" ht="15" hidden="false" customHeight="false" outlineLevel="0" collapsed="false">
      <c r="A151" s="34"/>
      <c r="B151" s="34"/>
      <c r="C151" s="34"/>
      <c r="D151" s="34"/>
      <c r="E151" s="34"/>
      <c r="F151" s="34"/>
      <c r="G151" s="35"/>
      <c r="H151" s="35"/>
      <c r="I151" s="36" t="str">
        <f aca="false">IF($G151="","",$G151+IF($H151="",0,$H151))</f>
        <v/>
      </c>
      <c r="J151" s="36" t="str">
        <f aca="false">IF($I151="","",$I151*$H$3/100)</f>
        <v/>
      </c>
      <c r="K151" s="36" t="str">
        <f aca="false">IF($I151="","",$I151-$J151)</f>
        <v/>
      </c>
      <c r="L151" s="37"/>
      <c r="M151" s="37"/>
      <c r="N151" s="34"/>
      <c r="O151" s="38" t="str">
        <f aca="false">IF(OR($K151="",$N151="",$N151=0),"",$K151/$N151)</f>
        <v/>
      </c>
      <c r="P151" s="39" t="str">
        <f aca="false">IF(OR($M151="",$B$3=""),"",IF($J$3="mes_completo",(YEAR($B$3)-YEAR($M151))*12+(MONTH($B$3)-MONTH($M151))-IF(DAY($B$3)&lt;DAY($M151),1,0),($B$3-$M151)/365.25*12))</f>
        <v/>
      </c>
      <c r="Q151" s="36" t="str">
        <f aca="false">IF(OR($O151="",$P151=""),"",MIN($O151*$P151,$K151))</f>
        <v/>
      </c>
      <c r="R151" s="35"/>
      <c r="S151" s="36" t="str">
        <f aca="false">IF($Q151="","",$I151-$Q151)</f>
        <v/>
      </c>
      <c r="T151" s="36" t="str">
        <f aca="false">IF($Q151="","",$I151-$Q151-IF($R151="",0,$R151))</f>
        <v/>
      </c>
      <c r="U151" s="40" t="str">
        <f aca="false">IF(OR($Q151="",$K151=0),"",$Q151/$K151)</f>
        <v/>
      </c>
      <c r="V151" s="35"/>
      <c r="W151" s="36" t="str">
        <f aca="false">IF(OR($Q151="",$V151=""),"",$Q151-$V151)</f>
        <v/>
      </c>
      <c r="X151" s="17" t="str">
        <f aca="false">IF($Q151="","",IF($Q151&gt;=$K151,"SI","NO"))</f>
        <v/>
      </c>
    </row>
    <row r="152" customFormat="false" ht="15" hidden="false" customHeight="false" outlineLevel="0" collapsed="false">
      <c r="A152" s="34"/>
      <c r="B152" s="34"/>
      <c r="C152" s="34"/>
      <c r="D152" s="34"/>
      <c r="E152" s="34"/>
      <c r="F152" s="34"/>
      <c r="G152" s="35"/>
      <c r="H152" s="35"/>
      <c r="I152" s="36" t="str">
        <f aca="false">IF($G152="","",$G152+IF($H152="",0,$H152))</f>
        <v/>
      </c>
      <c r="J152" s="36" t="str">
        <f aca="false">IF($I152="","",$I152*$H$3/100)</f>
        <v/>
      </c>
      <c r="K152" s="36" t="str">
        <f aca="false">IF($I152="","",$I152-$J152)</f>
        <v/>
      </c>
      <c r="L152" s="37"/>
      <c r="M152" s="37"/>
      <c r="N152" s="34"/>
      <c r="O152" s="38" t="str">
        <f aca="false">IF(OR($K152="",$N152="",$N152=0),"",$K152/$N152)</f>
        <v/>
      </c>
      <c r="P152" s="39" t="str">
        <f aca="false">IF(OR($M152="",$B$3=""),"",IF($J$3="mes_completo",(YEAR($B$3)-YEAR($M152))*12+(MONTH($B$3)-MONTH($M152))-IF(DAY($B$3)&lt;DAY($M152),1,0),($B$3-$M152)/365.25*12))</f>
        <v/>
      </c>
      <c r="Q152" s="36" t="str">
        <f aca="false">IF(OR($O152="",$P152=""),"",MIN($O152*$P152,$K152))</f>
        <v/>
      </c>
      <c r="R152" s="35"/>
      <c r="S152" s="36" t="str">
        <f aca="false">IF($Q152="","",$I152-$Q152)</f>
        <v/>
      </c>
      <c r="T152" s="36" t="str">
        <f aca="false">IF($Q152="","",$I152-$Q152-IF($R152="",0,$R152))</f>
        <v/>
      </c>
      <c r="U152" s="40" t="str">
        <f aca="false">IF(OR($Q152="",$K152=0),"",$Q152/$K152)</f>
        <v/>
      </c>
      <c r="V152" s="35"/>
      <c r="W152" s="36" t="str">
        <f aca="false">IF(OR($Q152="",$V152=""),"",$Q152-$V152)</f>
        <v/>
      </c>
      <c r="X152" s="17" t="str">
        <f aca="false">IF($Q152="","",IF($Q152&gt;=$K152,"SI","NO"))</f>
        <v/>
      </c>
    </row>
    <row r="153" customFormat="false" ht="15" hidden="false" customHeight="false" outlineLevel="0" collapsed="false">
      <c r="A153" s="34"/>
      <c r="B153" s="34"/>
      <c r="C153" s="34"/>
      <c r="D153" s="34"/>
      <c r="E153" s="34"/>
      <c r="F153" s="34"/>
      <c r="G153" s="35"/>
      <c r="H153" s="35"/>
      <c r="I153" s="36" t="str">
        <f aca="false">IF($G153="","",$G153+IF($H153="",0,$H153))</f>
        <v/>
      </c>
      <c r="J153" s="36" t="str">
        <f aca="false">IF($I153="","",$I153*$H$3/100)</f>
        <v/>
      </c>
      <c r="K153" s="36" t="str">
        <f aca="false">IF($I153="","",$I153-$J153)</f>
        <v/>
      </c>
      <c r="L153" s="37"/>
      <c r="M153" s="37"/>
      <c r="N153" s="34"/>
      <c r="O153" s="38" t="str">
        <f aca="false">IF(OR($K153="",$N153="",$N153=0),"",$K153/$N153)</f>
        <v/>
      </c>
      <c r="P153" s="39" t="str">
        <f aca="false">IF(OR($M153="",$B$3=""),"",IF($J$3="mes_completo",(YEAR($B$3)-YEAR($M153))*12+(MONTH($B$3)-MONTH($M153))-IF(DAY($B$3)&lt;DAY($M153),1,0),($B$3-$M153)/365.25*12))</f>
        <v/>
      </c>
      <c r="Q153" s="36" t="str">
        <f aca="false">IF(OR($O153="",$P153=""),"",MIN($O153*$P153,$K153))</f>
        <v/>
      </c>
      <c r="R153" s="35"/>
      <c r="S153" s="36" t="str">
        <f aca="false">IF($Q153="","",$I153-$Q153)</f>
        <v/>
      </c>
      <c r="T153" s="36" t="str">
        <f aca="false">IF($Q153="","",$I153-$Q153-IF($R153="",0,$R153))</f>
        <v/>
      </c>
      <c r="U153" s="40" t="str">
        <f aca="false">IF(OR($Q153="",$K153=0),"",$Q153/$K153)</f>
        <v/>
      </c>
      <c r="V153" s="35"/>
      <c r="W153" s="36" t="str">
        <f aca="false">IF(OR($Q153="",$V153=""),"",$Q153-$V153)</f>
        <v/>
      </c>
      <c r="X153" s="17" t="str">
        <f aca="false">IF($Q153="","",IF($Q153&gt;=$K153,"SI","NO"))</f>
        <v/>
      </c>
    </row>
    <row r="154" customFormat="false" ht="15" hidden="false" customHeight="false" outlineLevel="0" collapsed="false">
      <c r="A154" s="34"/>
      <c r="B154" s="34"/>
      <c r="C154" s="34"/>
      <c r="D154" s="34"/>
      <c r="E154" s="34"/>
      <c r="F154" s="34"/>
      <c r="G154" s="35"/>
      <c r="H154" s="35"/>
      <c r="I154" s="36" t="str">
        <f aca="false">IF($G154="","",$G154+IF($H154="",0,$H154))</f>
        <v/>
      </c>
      <c r="J154" s="36" t="str">
        <f aca="false">IF($I154="","",$I154*$H$3/100)</f>
        <v/>
      </c>
      <c r="K154" s="36" t="str">
        <f aca="false">IF($I154="","",$I154-$J154)</f>
        <v/>
      </c>
      <c r="L154" s="37"/>
      <c r="M154" s="37"/>
      <c r="N154" s="34"/>
      <c r="O154" s="38" t="str">
        <f aca="false">IF(OR($K154="",$N154="",$N154=0),"",$K154/$N154)</f>
        <v/>
      </c>
      <c r="P154" s="39" t="str">
        <f aca="false">IF(OR($M154="",$B$3=""),"",IF($J$3="mes_completo",(YEAR($B$3)-YEAR($M154))*12+(MONTH($B$3)-MONTH($M154))-IF(DAY($B$3)&lt;DAY($M154),1,0),($B$3-$M154)/365.25*12))</f>
        <v/>
      </c>
      <c r="Q154" s="36" t="str">
        <f aca="false">IF(OR($O154="",$P154=""),"",MIN($O154*$P154,$K154))</f>
        <v/>
      </c>
      <c r="R154" s="35"/>
      <c r="S154" s="36" t="str">
        <f aca="false">IF($Q154="","",$I154-$Q154)</f>
        <v/>
      </c>
      <c r="T154" s="36" t="str">
        <f aca="false">IF($Q154="","",$I154-$Q154-IF($R154="",0,$R154))</f>
        <v/>
      </c>
      <c r="U154" s="40" t="str">
        <f aca="false">IF(OR($Q154="",$K154=0),"",$Q154/$K154)</f>
        <v/>
      </c>
      <c r="V154" s="35"/>
      <c r="W154" s="36" t="str">
        <f aca="false">IF(OR($Q154="",$V154=""),"",$Q154-$V154)</f>
        <v/>
      </c>
      <c r="X154" s="17" t="str">
        <f aca="false">IF($Q154="","",IF($Q154&gt;=$K154,"SI","NO"))</f>
        <v/>
      </c>
    </row>
    <row r="155" customFormat="false" ht="15" hidden="false" customHeight="false" outlineLevel="0" collapsed="false">
      <c r="A155" s="34"/>
      <c r="B155" s="34"/>
      <c r="C155" s="34"/>
      <c r="D155" s="34"/>
      <c r="E155" s="34"/>
      <c r="F155" s="34"/>
      <c r="G155" s="35"/>
      <c r="H155" s="35"/>
      <c r="I155" s="36" t="str">
        <f aca="false">IF($G155="","",$G155+IF($H155="",0,$H155))</f>
        <v/>
      </c>
      <c r="J155" s="36" t="str">
        <f aca="false">IF($I155="","",$I155*$H$3/100)</f>
        <v/>
      </c>
      <c r="K155" s="36" t="str">
        <f aca="false">IF($I155="","",$I155-$J155)</f>
        <v/>
      </c>
      <c r="L155" s="37"/>
      <c r="M155" s="37"/>
      <c r="N155" s="34"/>
      <c r="O155" s="38" t="str">
        <f aca="false">IF(OR($K155="",$N155="",$N155=0),"",$K155/$N155)</f>
        <v/>
      </c>
      <c r="P155" s="39" t="str">
        <f aca="false">IF(OR($M155="",$B$3=""),"",IF($J$3="mes_completo",(YEAR($B$3)-YEAR($M155))*12+(MONTH($B$3)-MONTH($M155))-IF(DAY($B$3)&lt;DAY($M155),1,0),($B$3-$M155)/365.25*12))</f>
        <v/>
      </c>
      <c r="Q155" s="36" t="str">
        <f aca="false">IF(OR($O155="",$P155=""),"",MIN($O155*$P155,$K155))</f>
        <v/>
      </c>
      <c r="R155" s="35"/>
      <c r="S155" s="36" t="str">
        <f aca="false">IF($Q155="","",$I155-$Q155)</f>
        <v/>
      </c>
      <c r="T155" s="36" t="str">
        <f aca="false">IF($Q155="","",$I155-$Q155-IF($R155="",0,$R155))</f>
        <v/>
      </c>
      <c r="U155" s="40" t="str">
        <f aca="false">IF(OR($Q155="",$K155=0),"",$Q155/$K155)</f>
        <v/>
      </c>
      <c r="V155" s="35"/>
      <c r="W155" s="36" t="str">
        <f aca="false">IF(OR($Q155="",$V155=""),"",$Q155-$V155)</f>
        <v/>
      </c>
      <c r="X155" s="17" t="str">
        <f aca="false">IF($Q155="","",IF($Q155&gt;=$K155,"SI","NO"))</f>
        <v/>
      </c>
    </row>
    <row r="156" customFormat="false" ht="15" hidden="false" customHeight="false" outlineLevel="0" collapsed="false">
      <c r="A156" s="34"/>
      <c r="B156" s="34"/>
      <c r="C156" s="34"/>
      <c r="D156" s="34"/>
      <c r="E156" s="34"/>
      <c r="F156" s="34"/>
      <c r="G156" s="35"/>
      <c r="H156" s="35"/>
      <c r="I156" s="36" t="str">
        <f aca="false">IF($G156="","",$G156+IF($H156="",0,$H156))</f>
        <v/>
      </c>
      <c r="J156" s="36" t="str">
        <f aca="false">IF($I156="","",$I156*$H$3/100)</f>
        <v/>
      </c>
      <c r="K156" s="36" t="str">
        <f aca="false">IF($I156="","",$I156-$J156)</f>
        <v/>
      </c>
      <c r="L156" s="37"/>
      <c r="M156" s="37"/>
      <c r="N156" s="34"/>
      <c r="O156" s="38" t="str">
        <f aca="false">IF(OR($K156="",$N156="",$N156=0),"",$K156/$N156)</f>
        <v/>
      </c>
      <c r="P156" s="39" t="str">
        <f aca="false">IF(OR($M156="",$B$3=""),"",IF($J$3="mes_completo",(YEAR($B$3)-YEAR($M156))*12+(MONTH($B$3)-MONTH($M156))-IF(DAY($B$3)&lt;DAY($M156),1,0),($B$3-$M156)/365.25*12))</f>
        <v/>
      </c>
      <c r="Q156" s="36" t="str">
        <f aca="false">IF(OR($O156="",$P156=""),"",MIN($O156*$P156,$K156))</f>
        <v/>
      </c>
      <c r="R156" s="35"/>
      <c r="S156" s="36" t="str">
        <f aca="false">IF($Q156="","",$I156-$Q156)</f>
        <v/>
      </c>
      <c r="T156" s="36" t="str">
        <f aca="false">IF($Q156="","",$I156-$Q156-IF($R156="",0,$R156))</f>
        <v/>
      </c>
      <c r="U156" s="40" t="str">
        <f aca="false">IF(OR($Q156="",$K156=0),"",$Q156/$K156)</f>
        <v/>
      </c>
      <c r="V156" s="35"/>
      <c r="W156" s="36" t="str">
        <f aca="false">IF(OR($Q156="",$V156=""),"",$Q156-$V156)</f>
        <v/>
      </c>
      <c r="X156" s="17" t="str">
        <f aca="false">IF($Q156="","",IF($Q156&gt;=$K156,"SI","NO"))</f>
        <v/>
      </c>
    </row>
    <row r="157" customFormat="false" ht="15" hidden="false" customHeight="false" outlineLevel="0" collapsed="false">
      <c r="A157" s="34"/>
      <c r="B157" s="34"/>
      <c r="C157" s="34"/>
      <c r="D157" s="34"/>
      <c r="E157" s="34"/>
      <c r="F157" s="34"/>
      <c r="G157" s="35"/>
      <c r="H157" s="35"/>
      <c r="I157" s="36" t="str">
        <f aca="false">IF($G157="","",$G157+IF($H157="",0,$H157))</f>
        <v/>
      </c>
      <c r="J157" s="36" t="str">
        <f aca="false">IF($I157="","",$I157*$H$3/100)</f>
        <v/>
      </c>
      <c r="K157" s="36" t="str">
        <f aca="false">IF($I157="","",$I157-$J157)</f>
        <v/>
      </c>
      <c r="L157" s="37"/>
      <c r="M157" s="37"/>
      <c r="N157" s="34"/>
      <c r="O157" s="38" t="str">
        <f aca="false">IF(OR($K157="",$N157="",$N157=0),"",$K157/$N157)</f>
        <v/>
      </c>
      <c r="P157" s="39" t="str">
        <f aca="false">IF(OR($M157="",$B$3=""),"",IF($J$3="mes_completo",(YEAR($B$3)-YEAR($M157))*12+(MONTH($B$3)-MONTH($M157))-IF(DAY($B$3)&lt;DAY($M157),1,0),($B$3-$M157)/365.25*12))</f>
        <v/>
      </c>
      <c r="Q157" s="36" t="str">
        <f aca="false">IF(OR($O157="",$P157=""),"",MIN($O157*$P157,$K157))</f>
        <v/>
      </c>
      <c r="R157" s="35"/>
      <c r="S157" s="36" t="str">
        <f aca="false">IF($Q157="","",$I157-$Q157)</f>
        <v/>
      </c>
      <c r="T157" s="36" t="str">
        <f aca="false">IF($Q157="","",$I157-$Q157-IF($R157="",0,$R157))</f>
        <v/>
      </c>
      <c r="U157" s="40" t="str">
        <f aca="false">IF(OR($Q157="",$K157=0),"",$Q157/$K157)</f>
        <v/>
      </c>
      <c r="V157" s="35"/>
      <c r="W157" s="36" t="str">
        <f aca="false">IF(OR($Q157="",$V157=""),"",$Q157-$V157)</f>
        <v/>
      </c>
      <c r="X157" s="17" t="str">
        <f aca="false">IF($Q157="","",IF($Q157&gt;=$K157,"SI","NO"))</f>
        <v/>
      </c>
    </row>
  </sheetData>
  <mergeCells count="2">
    <mergeCell ref="A1:X1"/>
    <mergeCell ref="A2:X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2026-08-24T21:33:58Z</dcterms:created>
  <dc:creator>openpyxl</dc:creator>
  <dc:description/>
  <dc:language>en-US</dc:language>
  <cp:lastModifiedBy/>
  <dcterms:modified xsi:type="dcterms:W3CDTF">2026-08-24T21:34:02Z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