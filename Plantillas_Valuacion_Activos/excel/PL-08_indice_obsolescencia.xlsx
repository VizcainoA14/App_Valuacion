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OBSOLESCENC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<sst xmlns="http://schemas.openxmlformats.org/spreadsheetml/2006/main" count="157" uniqueCount="94">
  <si>
    <t xml:space="preserve">PL-08 - Cálculo del Indice de Obsolescencia</t>
  </si>
  <si>
    <t xml:space="preserve">Paso del proceso</t>
  </si>
  <si>
    <t xml:space="preserve">05 - Indice de obsolescencia</t>
  </si>
  <si>
    <t xml:space="preserve">Responsable de diligenciar</t>
  </si>
  <si>
    <t xml:space="preserve">Aplicación (cálculo) + Especialista técnico (concepto)</t>
  </si>
  <si>
    <t xml:space="preserve">Documento de referencia</t>
  </si>
  <si>
    <t xml:space="preserve">05_INDICE_DE_OBSOLESCENCIA.md</t>
  </si>
  <si>
    <t xml:space="preserve">Se convierte en</t>
  </si>
  <si>
    <t xml:space="preserve">EN-05-01 Reporte de indice de obsolescencia</t>
  </si>
  <si>
    <t xml:space="preserve">QUE SE DEBE SOLICITAR ANTES DE DILIGENCIAR</t>
  </si>
  <si>
    <t xml:space="preserve">-</t>
  </si>
  <si>
    <t xml:space="preserve">Fecha de adquisición de cada bien (PL-05)</t>
  </si>
  <si>
    <t xml:space="preserve">Vida útil técnica por clase (PL-02)</t>
  </si>
  <si>
    <t xml:space="preserve">IN-05-03 Vida útil del fabricante según manuales técnicos</t>
  </si>
  <si>
    <t xml:space="preserve">IN-05-05 Disponibilidad de repuestos y soporte del fabricante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</si>
  <si>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</si>
  <si>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</si>
  <si>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</si>
  <si>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</si>
  <si>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</si>
  <si>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</si>
  <si>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</si>
  <si>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</si>
  <si>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</si>
  <si>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</si>
  <si>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Cambie la FECHA DE CORTE en la celda B3: todo el archivo se recalcula solo.</t>
  </si>
  <si>
    <t xml:space="preserve">El indice NO se trunca en 1. Un valor de 1,35 significa 135% de vida útil consumida.</t>
  </si>
  <si>
    <t xml:space="preserve">Un bien puede ser obsoleto con indice bajo: marque obsolescencia_funcional = SI y justifique.</t>
  </si>
  <si>
    <t xml:space="preserve">Ser candidato a baja NO es estar dado de baja: la decisión se toma en el paso 09.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</si>
  <si>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</si>
  <si>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</si>
  <si>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</si>
  <si>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</si>
  <si>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</si>
  <si>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</si>
  <si>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</si>
  <si>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</si>
  <si>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</si>
  <si>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codigo_institucional</t>
  </si>
  <si>
    <t xml:space="preserve">texto</t>
  </si>
  <si>
    <t xml:space="preserve">SI</t>
  </si>
  <si>
    <t xml:space="preserve">placa</t>
  </si>
  <si>
    <t xml:space="preserve">no</t>
  </si>
  <si>
    <t xml:space="preserve">descripcion_bien</t>
  </si>
  <si>
    <t xml:space="preserve">clase_activo</t>
  </si>
  <si>
    <t xml:space="preserve">servicio_ubicacion</t>
  </si>
  <si>
    <t xml:space="preserve">fecha_adquisicion</t>
  </si>
  <si>
    <t xml:space="preserve">fecha</t>
  </si>
  <si>
    <t xml:space="preserve">Base del cálculo. Viene de PL-05.</t>
  </si>
  <si>
    <t xml:space="preserve">vida_util_tecnica_anios</t>
  </si>
  <si>
    <t xml:space="preserve">número</t>
  </si>
  <si>
    <t xml:space="preserve">Viene de PL-02 o del override de PL-08b.</t>
  </si>
  <si>
    <t xml:space="preserve">edad_actual_anios</t>
  </si>
  <si>
    <t xml:space="preserve">CALC</t>
  </si>
  <si>
    <t xml:space="preserve">CALCULADA: (fecha de corte - fecha de adquisición) / 365,25.</t>
  </si>
  <si>
    <t xml:space="preserve">indice_obsolescencia</t>
  </si>
  <si>
    <t xml:space="preserve">CALCULADA: edad / vida útil técnica. Va de 0 a mas de 1.</t>
  </si>
  <si>
    <t xml:space="preserve">porcentaje_obsolescencia</t>
  </si>
  <si>
    <t xml:space="preserve">CALCULADA: indice x 100.</t>
  </si>
  <si>
    <t xml:space="preserve">anios_restantes</t>
  </si>
  <si>
    <t xml:space="preserve">CALCULADA. Negativo si ya supero su vida útil.</t>
  </si>
  <si>
    <t xml:space="preserve">fecha_fin_vida_util</t>
  </si>
  <si>
    <t xml:space="preserve">CALCULADA.</t>
  </si>
  <si>
    <t xml:space="preserve">semaforo</t>
  </si>
  <si>
    <t xml:space="preserve">CALCULADA según los umbrales de las celdas H3 y J3.</t>
  </si>
  <si>
    <t xml:space="preserve">estado_actual</t>
  </si>
  <si>
    <t xml:space="preserve">Viene de PL-03.</t>
  </si>
  <si>
    <t xml:space="preserve">estado_operativo</t>
  </si>
  <si>
    <t xml:space="preserve">Viene de PL-05.</t>
  </si>
  <si>
    <t xml:space="preserve">obsolescencia_funcional</t>
  </si>
  <si>
    <t xml:space="preserve">SI cuando la tecnologia fue superada o no hay repuestos, aunque el indice sea bajo.</t>
  </si>
  <si>
    <t xml:space="preserve">justificacion_funcional</t>
  </si>
  <si>
    <t xml:space="preserve">OBLIGATORIA si la columna anterior es SI.</t>
  </si>
  <si>
    <t xml:space="preserve">candidato_baja</t>
  </si>
  <si>
    <t xml:space="preserve">CALCULADA según RN-05-04. No implica baja: es una propuesta.</t>
  </si>
  <si>
    <t xml:space="preserve">concepto_especialista</t>
  </si>
  <si>
    <t xml:space="preserve">Validacion humana. Obligatoria para semaforo NARANJA y ROJO.</t>
  </si>
  <si>
    <t xml:space="preserve">{{ENTIDAD_RAZON_SOCIAL}}</t>
  </si>
  <si>
    <t xml:space="preserve">FECHA DE CORTE:</t>
  </si>
  <si>
    <t xml:space="preserve">&lt;-- CAMBIE ESTA FECHA Y TODO SE RECALCULA</t>
  </si>
  <si>
    <t xml:space="preserve">SEDE:</t>
  </si>
  <si>
    <t xml:space="preserve">UMBRAL VERDE</t>
  </si>
  <si>
    <t xml:space="preserve">UMBRAL AMARILLO</t>
  </si>
  <si>
    <t xml:space="preserve">Amarillo = diligenciar   |   Gris = calculado, no escribir   |   Fila 7 = ejemplo, borrela</t>
  </si>
  <si>
    <t xml:space="preserve">HSV01AGM01</t>
  </si>
  <si>
    <t xml:space="preserve">166002008</t>
  </si>
  <si>
    <t xml:space="preserve">AGITADOR DE MAZZINI</t>
  </si>
  <si>
    <t xml:space="preserve">EQUIPO MEDICO CIENTIFICO</t>
  </si>
  <si>
    <t xml:space="preserve">LABORATORIO CLINICO</t>
  </si>
  <si>
    <t xml:space="preserve">2015-02-23</t>
  </si>
  <si>
    <t xml:space="preserve">BUENO</t>
  </si>
  <si>
    <t xml:space="preserve">OPERATIVO</t>
  </si>
  <si>
    <t xml:space="preserve">NO</t>
  </si>
  <si>
    <t xml:space="preserve">Equipo funcional, continua en servicio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</si>
</sst>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00"/>
    <numFmt numFmtId="167" formatCode="0.00\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3" customFormat="false" ht="15" hidden="false" customHeight="true" outlineLevel="0" collapsed="false">
      <c r="B13" s="6" t="s">
        <v>10</v>
      </c>
      <c r="C13" s="4" t="s">
        <v>14</v>
      </c>
      <c r="D13" s="4"/>
      <c r="E13" s="4"/>
    </row>
    <row r="15" customFormat="false" ht="15" hidden="false" customHeight="false" outlineLevel="0" collapsed="false">
      <c r="B15" s="5" t="s">
        <v>15</v>
      </c>
    </row>
    <row r="16" customFormat="false" ht="15" hidden="false" customHeight="false" outlineLevel="0" collapsed="false">
      <c r="B16" s="7" t="s">
        <v>16</v>
      </c>
      <c r="C16" s="8" t="s">
        <v>17</v>
      </c>
      <c r="D16" s="8"/>
      <c r="E16" s="8"/>
    </row>
    <row r="17" customFormat="false" ht="15" hidden="false" customHeight="false" outlineLevel="0" collapsed="false">
      <c r="B17" s="9" t="s">
        <v>18</v>
      </c>
      <c r="C17" s="8" t="s">
        <v>19</v>
      </c>
      <c r="D17" s="8"/>
      <c r="E17" s="8"/>
    </row>
    <row r="18" customFormat="false" ht="15" hidden="false" customHeight="false" outlineLevel="0" collapsed="false">
      <c r="B18" s="10" t="s">
        <v>20</v>
      </c>
      <c r="C18" s="8" t="s">
        <v>21</v>
      </c>
      <c r="D18" s="8"/>
      <c r="E18" s="8"/>
    </row>
    <row r="19" customFormat="false" ht="15" hidden="false" customHeight="false" outlineLevel="0" collapsed="false">
      <c r="B19" s="11" t="s">
        <v>22</v>
      </c>
      <c r="C19" s="8" t="s">
        <v>23</v>
      </c>
      <c r="D19" s="8"/>
      <c r="E19" s="8"/>
    </row>
    <row r="21" customFormat="false" ht="15" hidden="false" customHeight="false" outlineLevel="0" collapsed="false">
      <c r="B21" s="5" t="s">
        <v>24</v>
      </c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8" customFormat="false" ht="15" hidden="false" customHeight="true" outlineLevel="0" collapsed="false">
      <c r="B28" s="6" t="s">
        <v>10</v>
      </c>
      <c r="C28" s="4" t="s">
        <v>31</v>
      </c>
      <c r="D28" s="4"/>
      <c r="E28" s="4"/>
    </row>
    <row r="29" customFormat="false" ht="15" hidden="false" customHeight="true" outlineLevel="0" collapsed="false">
      <c r="B29" s="6" t="s">
        <v>10</v>
      </c>
      <c r="C29" s="4" t="s">
        <v>32</v>
      </c>
      <c r="D29" s="4"/>
      <c r="E29" s="4"/>
    </row>
    <row r="31" customFormat="false" ht="15" hidden="false" customHeight="false" outlineLevel="0" collapsed="false">
      <c r="B31" s="5" t="s">
        <v>33</v>
      </c>
    </row>
    <row r="32" customFormat="false" ht="15" hidden="false" customHeight="false" outlineLevel="0" collapsed="false">
      <c r="B32" s="12" t="s">
        <v>34</v>
      </c>
      <c r="C32" s="12" t="s">
        <v>35</v>
      </c>
      <c r="D32" s="12" t="s">
        <v>36</v>
      </c>
      <c r="E32" s="12" t="s">
        <v>37</v>
      </c>
    </row>
    <row r="33" customFormat="false" ht="15" hidden="false" customHeight="false" outlineLevel="0" collapsed="false">
      <c r="B33" s="13" t="s">
        <v>38</v>
      </c>
      <c r="C33" s="13" t="s">
        <v>39</v>
      </c>
      <c r="D33" s="14" t="s">
        <v>40</v>
      </c>
      <c r="E33" s="15"/>
    </row>
    <row r="34" customFormat="false" ht="15" hidden="false" customHeight="false" outlineLevel="0" collapsed="false">
      <c r="B34" s="13" t="s">
        <v>41</v>
      </c>
      <c r="C34" s="13" t="s">
        <v>39</v>
      </c>
      <c r="D34" s="16" t="s">
        <v>42</v>
      </c>
      <c r="E34" s="15"/>
    </row>
    <row r="35" customFormat="false" ht="15" hidden="false" customHeight="false" outlineLevel="0" collapsed="false">
      <c r="B35" s="13" t="s">
        <v>43</v>
      </c>
      <c r="C35" s="13" t="s">
        <v>39</v>
      </c>
      <c r="D35" s="14" t="s">
        <v>40</v>
      </c>
      <c r="E35" s="15"/>
    </row>
    <row r="36" customFormat="false" ht="15" hidden="false" customHeight="false" outlineLevel="0" collapsed="false">
      <c r="B36" s="13" t="s">
        <v>44</v>
      </c>
      <c r="C36" s="13" t="s">
        <v>39</v>
      </c>
      <c r="D36" s="14" t="s">
        <v>40</v>
      </c>
      <c r="E36" s="15"/>
    </row>
    <row r="37" customFormat="false" ht="15" hidden="false" customHeight="false" outlineLevel="0" collapsed="false">
      <c r="B37" s="13" t="s">
        <v>45</v>
      </c>
      <c r="C37" s="13" t="s">
        <v>39</v>
      </c>
      <c r="D37" s="14" t="s">
        <v>40</v>
      </c>
      <c r="E37" s="15"/>
    </row>
    <row r="38" customFormat="false" ht="15" hidden="false" customHeight="false" outlineLevel="0" collapsed="false">
      <c r="B38" s="13" t="s">
        <v>46</v>
      </c>
      <c r="C38" s="13" t="s">
        <v>47</v>
      </c>
      <c r="D38" s="14" t="s">
        <v>40</v>
      </c>
      <c r="E38" s="15" t="s">
        <v>48</v>
      </c>
    </row>
    <row r="39" customFormat="false" ht="15" hidden="false" customHeight="false" outlineLevel="0" collapsed="false">
      <c r="B39" s="13" t="s">
        <v>49</v>
      </c>
      <c r="C39" s="13" t="s">
        <v>50</v>
      </c>
      <c r="D39" s="14" t="s">
        <v>40</v>
      </c>
      <c r="E39" s="15" t="s">
        <v>51</v>
      </c>
    </row>
    <row r="40" customFormat="false" ht="15" hidden="false" customHeight="false" outlineLevel="0" collapsed="false">
      <c r="B40" s="17" t="s">
        <v>52</v>
      </c>
      <c r="C40" s="17" t="s">
        <v>39</v>
      </c>
      <c r="D40" s="18" t="s">
        <v>53</v>
      </c>
      <c r="E40" s="19" t="s">
        <v>54</v>
      </c>
    </row>
    <row r="41" customFormat="false" ht="15" hidden="false" customHeight="false" outlineLevel="0" collapsed="false">
      <c r="B41" s="17" t="s">
        <v>55</v>
      </c>
      <c r="C41" s="17" t="s">
        <v>39</v>
      </c>
      <c r="D41" s="18" t="s">
        <v>53</v>
      </c>
      <c r="E41" s="19" t="s">
        <v>56</v>
      </c>
    </row>
    <row r="42" customFormat="false" ht="15" hidden="false" customHeight="false" outlineLevel="0" collapsed="false">
      <c r="B42" s="17" t="s">
        <v>57</v>
      </c>
      <c r="C42" s="17" t="s">
        <v>39</v>
      </c>
      <c r="D42" s="18" t="s">
        <v>53</v>
      </c>
      <c r="E42" s="19" t="s">
        <v>58</v>
      </c>
    </row>
    <row r="43" customFormat="false" ht="15" hidden="false" customHeight="false" outlineLevel="0" collapsed="false">
      <c r="B43" s="17" t="s">
        <v>59</v>
      </c>
      <c r="C43" s="17" t="s">
        <v>39</v>
      </c>
      <c r="D43" s="18" t="s">
        <v>53</v>
      </c>
      <c r="E43" s="19" t="s">
        <v>60</v>
      </c>
    </row>
    <row r="44" customFormat="false" ht="15" hidden="false" customHeight="false" outlineLevel="0" collapsed="false">
      <c r="B44" s="17" t="s">
        <v>61</v>
      </c>
      <c r="C44" s="17" t="s">
        <v>39</v>
      </c>
      <c r="D44" s="18" t="s">
        <v>53</v>
      </c>
      <c r="E44" s="19" t="s">
        <v>62</v>
      </c>
    </row>
    <row r="45" customFormat="false" ht="15" hidden="false" customHeight="false" outlineLevel="0" collapsed="false">
      <c r="B45" s="17" t="s">
        <v>63</v>
      </c>
      <c r="C45" s="17" t="s">
        <v>39</v>
      </c>
      <c r="D45" s="18" t="s">
        <v>53</v>
      </c>
      <c r="E45" s="19" t="s">
        <v>64</v>
      </c>
    </row>
    <row r="46" customFormat="false" ht="15" hidden="false" customHeight="false" outlineLevel="0" collapsed="false">
      <c r="B46" s="13" t="s">
        <v>65</v>
      </c>
      <c r="C46" s="13" t="s">
        <v>39</v>
      </c>
      <c r="D46" s="14" t="s">
        <v>40</v>
      </c>
      <c r="E46" s="15" t="s">
        <v>66</v>
      </c>
    </row>
    <row r="47" customFormat="false" ht="15" hidden="false" customHeight="false" outlineLevel="0" collapsed="false">
      <c r="B47" s="13" t="s">
        <v>67</v>
      </c>
      <c r="C47" s="13" t="s">
        <v>39</v>
      </c>
      <c r="D47" s="14" t="s">
        <v>40</v>
      </c>
      <c r="E47" s="15" t="s">
        <v>68</v>
      </c>
    </row>
    <row r="48" customFormat="false" ht="15" hidden="false" customHeight="false" outlineLevel="0" collapsed="false">
      <c r="B48" s="13" t="s">
        <v>69</v>
      </c>
      <c r="C48" s="13" t="s">
        <v>39</v>
      </c>
      <c r="D48" s="14" t="s">
        <v>40</v>
      </c>
      <c r="E48" s="15" t="s">
        <v>70</v>
      </c>
    </row>
    <row r="49" customFormat="false" ht="15" hidden="false" customHeight="false" outlineLevel="0" collapsed="false">
      <c r="B49" s="13" t="s">
        <v>71</v>
      </c>
      <c r="C49" s="13" t="s">
        <v>39</v>
      </c>
      <c r="D49" s="16" t="s">
        <v>42</v>
      </c>
      <c r="E49" s="15" t="s">
        <v>72</v>
      </c>
    </row>
    <row r="50" customFormat="false" ht="15" hidden="false" customHeight="false" outlineLevel="0" collapsed="false">
      <c r="B50" s="17" t="s">
        <v>73</v>
      </c>
      <c r="C50" s="17" t="s">
        <v>39</v>
      </c>
      <c r="D50" s="18" t="s">
        <v>53</v>
      </c>
      <c r="E50" s="19" t="s">
        <v>74</v>
      </c>
    </row>
    <row r="51" customFormat="false" ht="15" hidden="false" customHeight="false" outlineLevel="0" collapsed="false">
      <c r="B51" s="13" t="s">
        <v>75</v>
      </c>
      <c r="C51" s="13" t="s">
        <v>39</v>
      </c>
      <c r="D51" s="16" t="s">
        <v>42</v>
      </c>
      <c r="E51" s="15" t="s">
        <v>76</v>
      </c>
    </row>
  </sheetData>
  <mergeCells count="20">
    <mergeCell ref="C4:E4"/>
    <mergeCell ref="C5:E5"/>
    <mergeCell ref="C6:E6"/>
    <mergeCell ref="C7:E7"/>
    <mergeCell ref="C10:E10"/>
    <mergeCell ref="C11:E11"/>
    <mergeCell ref="C12:E12"/>
    <mergeCell ref="C13:E13"/>
    <mergeCell ref="C16:E16"/>
    <mergeCell ref="C17:E17"/>
    <mergeCell ref="C18:E18"/>
    <mergeCell ref="C19:E19"/>
    <mergeCell ref="C22:E22"/>
    <mergeCell ref="C23:E23"/>
    <mergeCell ref="C24:E24"/>
    <mergeCell ref="C25:E25"/>
    <mergeCell ref="C26:E26"/>
    <mergeCell ref="C27:E27"/>
    <mergeCell ref="C28:E28"/>
    <mergeCell ref="C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10" min="9" style="1" width="14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3"/>
    <col collapsed="false" customWidth="true" hidden="false" outlineLevel="0" max="14" min="14" style="1" width="14"/>
    <col collapsed="false" customWidth="true" hidden="false" outlineLevel="0" max="15" min="15" style="1" width="16"/>
    <col collapsed="false" customWidth="true" hidden="false" outlineLevel="0" max="16" min="16" style="1" width="14"/>
    <col collapsed="false" customWidth="true" hidden="false" outlineLevel="0" max="17" min="17" style="1" width="34"/>
    <col collapsed="false" customWidth="true" hidden="false" outlineLevel="0" max="18" min="18" style="1" width="13"/>
    <col collapsed="false" customWidth="true" hidden="false" outlineLevel="0" max="19" min="19" style="1" width="36"/>
  </cols>
  <sheetData>
    <row r="1" customFormat="false" ht="15" hidden="false" customHeight="false" outlineLevel="0" collapsed="false">
      <c r="A1" s="20" t="s">
        <v>77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customFormat="false" ht="15" hidden="false" customHeight="fals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customFormat="false" ht="15" hidden="false" customHeight="false" outlineLevel="0" collapsed="false">
      <c r="A3" s="3" t="s">
        <v>78</v>
      </c>
      <c r="B3" s="22" t="n">
        <v>46295</v>
      </c>
      <c r="C3" s="23" t="s">
        <v>79</v>
      </c>
      <c r="D3" s="3" t="s">
        <v>80</v>
      </c>
      <c r="E3" s="24"/>
      <c r="G3" s="3" t="s">
        <v>81</v>
      </c>
      <c r="H3" s="11" t="n">
        <v>0.5</v>
      </c>
      <c r="I3" s="3" t="s">
        <v>82</v>
      </c>
      <c r="J3" s="11" t="n">
        <v>0.8</v>
      </c>
    </row>
    <row r="4" customFormat="false" ht="15" hidden="false" customHeight="false" outlineLevel="0" collapsed="false">
      <c r="A4" s="25" t="s">
        <v>83</v>
      </c>
    </row>
    <row r="6" customFormat="false" ht="33.75" hidden="false" customHeight="true" outlineLevel="0" collapsed="false">
      <c r="A6" s="26" t="s">
        <v>38</v>
      </c>
      <c r="B6" s="26" t="s">
        <v>41</v>
      </c>
      <c r="C6" s="26" t="s">
        <v>43</v>
      </c>
      <c r="D6" s="26" t="s">
        <v>44</v>
      </c>
      <c r="E6" s="26" t="s">
        <v>45</v>
      </c>
      <c r="F6" s="26" t="s">
        <v>46</v>
      </c>
      <c r="G6" s="26" t="s">
        <v>49</v>
      </c>
      <c r="H6" s="27" t="s">
        <v>52</v>
      </c>
      <c r="I6" s="27" t="s">
        <v>55</v>
      </c>
      <c r="J6" s="27" t="s">
        <v>57</v>
      </c>
      <c r="K6" s="27" t="s">
        <v>59</v>
      </c>
      <c r="L6" s="27" t="s">
        <v>61</v>
      </c>
      <c r="M6" s="27" t="s">
        <v>63</v>
      </c>
      <c r="N6" s="26" t="s">
        <v>65</v>
      </c>
      <c r="O6" s="26" t="s">
        <v>67</v>
      </c>
      <c r="P6" s="26" t="s">
        <v>69</v>
      </c>
      <c r="Q6" s="26" t="s">
        <v>71</v>
      </c>
      <c r="R6" s="27" t="s">
        <v>73</v>
      </c>
      <c r="S6" s="26" t="s">
        <v>75</v>
      </c>
    </row>
    <row r="7" customFormat="false" ht="15" hidden="false" customHeight="false" outlineLevel="0" collapsed="false">
      <c r="A7" s="28" t="s">
        <v>84</v>
      </c>
      <c r="B7" s="28" t="s">
        <v>85</v>
      </c>
      <c r="C7" s="28" t="s">
        <v>86</v>
      </c>
      <c r="D7" s="28" t="s">
        <v>87</v>
      </c>
      <c r="E7" s="28" t="s">
        <v>88</v>
      </c>
      <c r="F7" s="29" t="s">
        <v>89</v>
      </c>
      <c r="G7" s="28" t="n">
        <v>15</v>
      </c>
      <c r="H7" s="30" t="n">
        <f aca="false">IF(OR($F7="",$G7=""),"",($B$3-$F7)/365.25)</f>
        <v>11.6002737850787</v>
      </c>
      <c r="I7" s="30" t="n">
        <f aca="false">IF(OR($H7="",$G7=""),"",$H7/$G7)</f>
        <v>0.773351585671914</v>
      </c>
      <c r="J7" s="31" t="n">
        <f aca="false">IF($I7="","",$I7*100)</f>
        <v>77.3351585671914</v>
      </c>
      <c r="K7" s="30" t="n">
        <f aca="false">IF($H7="","",$G7-$H7)</f>
        <v>3.39972621492129</v>
      </c>
      <c r="L7" s="29" t="n">
        <f aca="false">IF(OR($F7="",$G7=""),"",EDATE($F7,ROUND($G7*12,0)))</f>
        <v>47537</v>
      </c>
      <c r="M7" s="28" t="str">
        <f aca="false">IF($I7="","",IF($I7&lt;=$H$3,"VERDE",IF($I7&lt;=$J$3,"AMARILLO",IF($I7&lt;1,"NARANJA","ROJO"))))</f>
        <v>AMARILLO</v>
      </c>
      <c r="N7" s="28" t="s">
        <v>90</v>
      </c>
      <c r="O7" s="28" t="s">
        <v>91</v>
      </c>
      <c r="P7" s="28" t="s">
        <v>92</v>
      </c>
      <c r="Q7" s="32"/>
      <c r="R7" s="28" t="str">
        <f aca="false">IF($I7="","",IF(OR($I7&gt;=1,$P7="SI",AND($I7&gt;=0.81,OR($N7="MALO",$N7="INSERVIBLE"))),"SI","NO"))</f>
        <v>NO</v>
      </c>
      <c r="S7" s="32" t="s">
        <v>93</v>
      </c>
    </row>
    <row r="8" customFormat="false" ht="15" hidden="false" customHeight="false" outlineLevel="0" collapsed="false">
      <c r="A8" s="33"/>
      <c r="B8" s="33"/>
      <c r="C8" s="33"/>
      <c r="D8" s="33"/>
      <c r="E8" s="33"/>
      <c r="F8" s="34"/>
      <c r="G8" s="33"/>
      <c r="H8" s="35" t="str">
        <f aca="false">IF(OR($F8="",$G8=""),"",($B$3-$F8)/365.25)</f>
        <v/>
      </c>
      <c r="I8" s="35" t="str">
        <f aca="false">IF(OR($H8="",$G8=""),"",$H8/$G8)</f>
        <v/>
      </c>
      <c r="J8" s="36" t="str">
        <f aca="false">IF($I8="","",$I8*100)</f>
        <v/>
      </c>
      <c r="K8" s="35" t="str">
        <f aca="false">IF($H8="","",$G8-$H8)</f>
        <v/>
      </c>
      <c r="L8" s="37" t="str">
        <f aca="false">IF(OR($F8="",$G8=""),"",EDATE($F8,ROUND($G8*12,0)))</f>
        <v/>
      </c>
      <c r="M8" s="17" t="str">
        <f aca="false">IF($I8="","",IF($I8&lt;=$H$3,"VERDE",IF($I8&lt;=$J$3,"AMARILLO",IF($I8&lt;1,"NARANJA","ROJO"))))</f>
        <v/>
      </c>
      <c r="N8" s="33"/>
      <c r="O8" s="33"/>
      <c r="P8" s="33"/>
      <c r="Q8" s="38"/>
      <c r="R8" s="17" t="str">
        <f aca="false">IF($I8="","",IF(OR($I8&gt;=1,$P8="SI",AND($I8&gt;=0.81,OR($N8="MALO",$N8="INSERVIBLE"))),"SI","NO"))</f>
        <v/>
      </c>
      <c r="S8" s="38"/>
    </row>
    <row r="9" customFormat="false" ht="15" hidden="false" customHeight="false" outlineLevel="0" collapsed="false">
      <c r="A9" s="33"/>
      <c r="B9" s="33"/>
      <c r="C9" s="33"/>
      <c r="D9" s="33"/>
      <c r="E9" s="33"/>
      <c r="F9" s="34"/>
      <c r="G9" s="33"/>
      <c r="H9" s="35" t="str">
        <f aca="false">IF(OR($F9="",$G9=""),"",($B$3-$F9)/365.25)</f>
        <v/>
      </c>
      <c r="I9" s="35" t="str">
        <f aca="false">IF(OR($H9="",$G9=""),"",$H9/$G9)</f>
        <v/>
      </c>
      <c r="J9" s="36" t="str">
        <f aca="false">IF($I9="","",$I9*100)</f>
        <v/>
      </c>
      <c r="K9" s="35" t="str">
        <f aca="false">IF($H9="","",$G9-$H9)</f>
        <v/>
      </c>
      <c r="L9" s="37" t="str">
        <f aca="false">IF(OR($F9="",$G9=""),"",EDATE($F9,ROUND($G9*12,0)))</f>
        <v/>
      </c>
      <c r="M9" s="17" t="str">
        <f aca="false">IF($I9="","",IF($I9&lt;=$H$3,"VERDE",IF($I9&lt;=$J$3,"AMARILLO",IF($I9&lt;1,"NARANJA","ROJO"))))</f>
        <v/>
      </c>
      <c r="N9" s="33"/>
      <c r="O9" s="33"/>
      <c r="P9" s="33"/>
      <c r="Q9" s="38"/>
      <c r="R9" s="17" t="str">
        <f aca="false">IF($I9="","",IF(OR($I9&gt;=1,$P9="SI",AND($I9&gt;=0.81,OR($N9="MALO",$N9="INSERVIBLE"))),"SI","NO"))</f>
        <v/>
      </c>
      <c r="S9" s="38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4"/>
      <c r="G10" s="33"/>
      <c r="H10" s="35" t="str">
        <f aca="false">IF(OR($F10="",$G10=""),"",($B$3-$F10)/365.25)</f>
        <v/>
      </c>
      <c r="I10" s="35" t="str">
        <f aca="false">IF(OR($H10="",$G10=""),"",$H10/$G10)</f>
        <v/>
      </c>
      <c r="J10" s="36" t="str">
        <f aca="false">IF($I10="","",$I10*100)</f>
        <v/>
      </c>
      <c r="K10" s="35" t="str">
        <f aca="false">IF($H10="","",$G10-$H10)</f>
        <v/>
      </c>
      <c r="L10" s="37" t="str">
        <f aca="false">IF(OR($F10="",$G10=""),"",EDATE($F10,ROUND($G10*12,0)))</f>
        <v/>
      </c>
      <c r="M10" s="17" t="str">
        <f aca="false">IF($I10="","",IF($I10&lt;=$H$3,"VERDE",IF($I10&lt;=$J$3,"AMARILLO",IF($I10&lt;1,"NARANJA","ROJO"))))</f>
        <v/>
      </c>
      <c r="N10" s="33"/>
      <c r="O10" s="33"/>
      <c r="P10" s="33"/>
      <c r="Q10" s="38"/>
      <c r="R10" s="17" t="str">
        <f aca="false">IF($I10="","",IF(OR($I10&gt;=1,$P10="SI",AND($I10&gt;=0.81,OR($N10="MALO",$N10="INSERVIBLE"))),"SI","NO"))</f>
        <v/>
      </c>
      <c r="S10" s="38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4"/>
      <c r="G11" s="33"/>
      <c r="H11" s="35" t="str">
        <f aca="false">IF(OR($F11="",$G11=""),"",($B$3-$F11)/365.25)</f>
        <v/>
      </c>
      <c r="I11" s="35" t="str">
        <f aca="false">IF(OR($H11="",$G11=""),"",$H11/$G11)</f>
        <v/>
      </c>
      <c r="J11" s="36" t="str">
        <f aca="false">IF($I11="","",$I11*100)</f>
        <v/>
      </c>
      <c r="K11" s="35" t="str">
        <f aca="false">IF($H11="","",$G11-$H11)</f>
        <v/>
      </c>
      <c r="L11" s="37" t="str">
        <f aca="false">IF(OR($F11="",$G11=""),"",EDATE($F11,ROUND($G11*12,0)))</f>
        <v/>
      </c>
      <c r="M11" s="17" t="str">
        <f aca="false">IF($I11="","",IF($I11&lt;=$H$3,"VERDE",IF($I11&lt;=$J$3,"AMARILLO",IF($I11&lt;1,"NARANJA","ROJO"))))</f>
        <v/>
      </c>
      <c r="N11" s="33"/>
      <c r="O11" s="33"/>
      <c r="P11" s="33"/>
      <c r="Q11" s="38"/>
      <c r="R11" s="17" t="str">
        <f aca="false">IF($I11="","",IF(OR($I11&gt;=1,$P11="SI",AND($I11&gt;=0.81,OR($N11="MALO",$N11="INSERVIBLE"))),"SI","NO"))</f>
        <v/>
      </c>
      <c r="S11" s="38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4"/>
      <c r="G12" s="33"/>
      <c r="H12" s="35" t="str">
        <f aca="false">IF(OR($F12="",$G12=""),"",($B$3-$F12)/365.25)</f>
        <v/>
      </c>
      <c r="I12" s="35" t="str">
        <f aca="false">IF(OR($H12="",$G12=""),"",$H12/$G12)</f>
        <v/>
      </c>
      <c r="J12" s="36" t="str">
        <f aca="false">IF($I12="","",$I12*100)</f>
        <v/>
      </c>
      <c r="K12" s="35" t="str">
        <f aca="false">IF($H12="","",$G12-$H12)</f>
        <v/>
      </c>
      <c r="L12" s="37" t="str">
        <f aca="false">IF(OR($F12="",$G12=""),"",EDATE($F12,ROUND($G12*12,0)))</f>
        <v/>
      </c>
      <c r="M12" s="17" t="str">
        <f aca="false">IF($I12="","",IF($I12&lt;=$H$3,"VERDE",IF($I12&lt;=$J$3,"AMARILLO",IF($I12&lt;1,"NARANJA","ROJO"))))</f>
        <v/>
      </c>
      <c r="N12" s="33"/>
      <c r="O12" s="33"/>
      <c r="P12" s="33"/>
      <c r="Q12" s="38"/>
      <c r="R12" s="17" t="str">
        <f aca="false">IF($I12="","",IF(OR($I12&gt;=1,$P12="SI",AND($I12&gt;=0.81,OR($N12="MALO",$N12="INSERVIBLE"))),"SI","NO"))</f>
        <v/>
      </c>
      <c r="S12" s="38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4"/>
      <c r="G13" s="33"/>
      <c r="H13" s="35" t="str">
        <f aca="false">IF(OR($F13="",$G13=""),"",($B$3-$F13)/365.25)</f>
        <v/>
      </c>
      <c r="I13" s="35" t="str">
        <f aca="false">IF(OR($H13="",$G13=""),"",$H13/$G13)</f>
        <v/>
      </c>
      <c r="J13" s="36" t="str">
        <f aca="false">IF($I13="","",$I13*100)</f>
        <v/>
      </c>
      <c r="K13" s="35" t="str">
        <f aca="false">IF($H13="","",$G13-$H13)</f>
        <v/>
      </c>
      <c r="L13" s="37" t="str">
        <f aca="false">IF(OR($F13="",$G13=""),"",EDATE($F13,ROUND($G13*12,0)))</f>
        <v/>
      </c>
      <c r="M13" s="17" t="str">
        <f aca="false">IF($I13="","",IF($I13&lt;=$H$3,"VERDE",IF($I13&lt;=$J$3,"AMARILLO",IF($I13&lt;1,"NARANJA","ROJO"))))</f>
        <v/>
      </c>
      <c r="N13" s="33"/>
      <c r="O13" s="33"/>
      <c r="P13" s="33"/>
      <c r="Q13" s="38"/>
      <c r="R13" s="17" t="str">
        <f aca="false">IF($I13="","",IF(OR($I13&gt;=1,$P13="SI",AND($I13&gt;=0.81,OR($N13="MALO",$N13="INSERVIBLE"))),"SI","NO"))</f>
        <v/>
      </c>
      <c r="S13" s="38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4"/>
      <c r="G14" s="33"/>
      <c r="H14" s="35" t="str">
        <f aca="false">IF(OR($F14="",$G14=""),"",($B$3-$F14)/365.25)</f>
        <v/>
      </c>
      <c r="I14" s="35" t="str">
        <f aca="false">IF(OR($H14="",$G14=""),"",$H14/$G14)</f>
        <v/>
      </c>
      <c r="J14" s="36" t="str">
        <f aca="false">IF($I14="","",$I14*100)</f>
        <v/>
      </c>
      <c r="K14" s="35" t="str">
        <f aca="false">IF($H14="","",$G14-$H14)</f>
        <v/>
      </c>
      <c r="L14" s="37" t="str">
        <f aca="false">IF(OR($F14="",$G14=""),"",EDATE($F14,ROUND($G14*12,0)))</f>
        <v/>
      </c>
      <c r="M14" s="17" t="str">
        <f aca="false">IF($I14="","",IF($I14&lt;=$H$3,"VERDE",IF($I14&lt;=$J$3,"AMARILLO",IF($I14&lt;1,"NARANJA","ROJO"))))</f>
        <v/>
      </c>
      <c r="N14" s="33"/>
      <c r="O14" s="33"/>
      <c r="P14" s="33"/>
      <c r="Q14" s="38"/>
      <c r="R14" s="17" t="str">
        <f aca="false">IF($I14="","",IF(OR($I14&gt;=1,$P14="SI",AND($I14&gt;=0.81,OR($N14="MALO",$N14="INSERVIBLE"))),"SI","NO"))</f>
        <v/>
      </c>
      <c r="S14" s="38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4"/>
      <c r="G15" s="33"/>
      <c r="H15" s="35" t="str">
        <f aca="false">IF(OR($F15="",$G15=""),"",($B$3-$F15)/365.25)</f>
        <v/>
      </c>
      <c r="I15" s="35" t="str">
        <f aca="false">IF(OR($H15="",$G15=""),"",$H15/$G15)</f>
        <v/>
      </c>
      <c r="J15" s="36" t="str">
        <f aca="false">IF($I15="","",$I15*100)</f>
        <v/>
      </c>
      <c r="K15" s="35" t="str">
        <f aca="false">IF($H15="","",$G15-$H15)</f>
        <v/>
      </c>
      <c r="L15" s="37" t="str">
        <f aca="false">IF(OR($F15="",$G15=""),"",EDATE($F15,ROUND($G15*12,0)))</f>
        <v/>
      </c>
      <c r="M15" s="17" t="str">
        <f aca="false">IF($I15="","",IF($I15&lt;=$H$3,"VERDE",IF($I15&lt;=$J$3,"AMARILLO",IF($I15&lt;1,"NARANJA","ROJO"))))</f>
        <v/>
      </c>
      <c r="N15" s="33"/>
      <c r="O15" s="33"/>
      <c r="P15" s="33"/>
      <c r="Q15" s="38"/>
      <c r="R15" s="17" t="str">
        <f aca="false">IF($I15="","",IF(OR($I15&gt;=1,$P15="SI",AND($I15&gt;=0.81,OR($N15="MALO",$N15="INSERVIBLE"))),"SI","NO"))</f>
        <v/>
      </c>
      <c r="S15" s="38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4"/>
      <c r="G16" s="33"/>
      <c r="H16" s="35" t="str">
        <f aca="false">IF(OR($F16="",$G16=""),"",($B$3-$F16)/365.25)</f>
        <v/>
      </c>
      <c r="I16" s="35" t="str">
        <f aca="false">IF(OR($H16="",$G16=""),"",$H16/$G16)</f>
        <v/>
      </c>
      <c r="J16" s="36" t="str">
        <f aca="false">IF($I16="","",$I16*100)</f>
        <v/>
      </c>
      <c r="K16" s="35" t="str">
        <f aca="false">IF($H16="","",$G16-$H16)</f>
        <v/>
      </c>
      <c r="L16" s="37" t="str">
        <f aca="false">IF(OR($F16="",$G16=""),"",EDATE($F16,ROUND($G16*12,0)))</f>
        <v/>
      </c>
      <c r="M16" s="17" t="str">
        <f aca="false">IF($I16="","",IF($I16&lt;=$H$3,"VERDE",IF($I16&lt;=$J$3,"AMARILLO",IF($I16&lt;1,"NARANJA","ROJO"))))</f>
        <v/>
      </c>
      <c r="N16" s="33"/>
      <c r="O16" s="33"/>
      <c r="P16" s="33"/>
      <c r="Q16" s="38"/>
      <c r="R16" s="17" t="str">
        <f aca="false">IF($I16="","",IF(OR($I16&gt;=1,$P16="SI",AND($I16&gt;=0.81,OR($N16="MALO",$N16="INSERVIBLE"))),"SI","NO"))</f>
        <v/>
      </c>
      <c r="S16" s="38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4"/>
      <c r="G17" s="33"/>
      <c r="H17" s="35" t="str">
        <f aca="false">IF(OR($F17="",$G17=""),"",($B$3-$F17)/365.25)</f>
        <v/>
      </c>
      <c r="I17" s="35" t="str">
        <f aca="false">IF(OR($H17="",$G17=""),"",$H17/$G17)</f>
        <v/>
      </c>
      <c r="J17" s="36" t="str">
        <f aca="false">IF($I17="","",$I17*100)</f>
        <v/>
      </c>
      <c r="K17" s="35" t="str">
        <f aca="false">IF($H17="","",$G17-$H17)</f>
        <v/>
      </c>
      <c r="L17" s="37" t="str">
        <f aca="false">IF(OR($F17="",$G17=""),"",EDATE($F17,ROUND($G17*12,0)))</f>
        <v/>
      </c>
      <c r="M17" s="17" t="str">
        <f aca="false">IF($I17="","",IF($I17&lt;=$H$3,"VERDE",IF($I17&lt;=$J$3,"AMARILLO",IF($I17&lt;1,"NARANJA","ROJO"))))</f>
        <v/>
      </c>
      <c r="N17" s="33"/>
      <c r="O17" s="33"/>
      <c r="P17" s="33"/>
      <c r="Q17" s="38"/>
      <c r="R17" s="17" t="str">
        <f aca="false">IF($I17="","",IF(OR($I17&gt;=1,$P17="SI",AND($I17&gt;=0.81,OR($N17="MALO",$N17="INSERVIBLE"))),"SI","NO"))</f>
        <v/>
      </c>
      <c r="S17" s="38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4"/>
      <c r="G18" s="33"/>
      <c r="H18" s="35" t="str">
        <f aca="false">IF(OR($F18="",$G18=""),"",($B$3-$F18)/365.25)</f>
        <v/>
      </c>
      <c r="I18" s="35" t="str">
        <f aca="false">IF(OR($H18="",$G18=""),"",$H18/$G18)</f>
        <v/>
      </c>
      <c r="J18" s="36" t="str">
        <f aca="false">IF($I18="","",$I18*100)</f>
        <v/>
      </c>
      <c r="K18" s="35" t="str">
        <f aca="false">IF($H18="","",$G18-$H18)</f>
        <v/>
      </c>
      <c r="L18" s="37" t="str">
        <f aca="false">IF(OR($F18="",$G18=""),"",EDATE($F18,ROUND($G18*12,0)))</f>
        <v/>
      </c>
      <c r="M18" s="17" t="str">
        <f aca="false">IF($I18="","",IF($I18&lt;=$H$3,"VERDE",IF($I18&lt;=$J$3,"AMARILLO",IF($I18&lt;1,"NARANJA","ROJO"))))</f>
        <v/>
      </c>
      <c r="N18" s="33"/>
      <c r="O18" s="33"/>
      <c r="P18" s="33"/>
      <c r="Q18" s="38"/>
      <c r="R18" s="17" t="str">
        <f aca="false">IF($I18="","",IF(OR($I18&gt;=1,$P18="SI",AND($I18&gt;=0.81,OR($N18="MALO",$N18="INSERVIBLE"))),"SI","NO"))</f>
        <v/>
      </c>
      <c r="S18" s="38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4"/>
      <c r="G19" s="33"/>
      <c r="H19" s="35" t="str">
        <f aca="false">IF(OR($F19="",$G19=""),"",($B$3-$F19)/365.25)</f>
        <v/>
      </c>
      <c r="I19" s="35" t="str">
        <f aca="false">IF(OR($H19="",$G19=""),"",$H19/$G19)</f>
        <v/>
      </c>
      <c r="J19" s="36" t="str">
        <f aca="false">IF($I19="","",$I19*100)</f>
        <v/>
      </c>
      <c r="K19" s="35" t="str">
        <f aca="false">IF($H19="","",$G19-$H19)</f>
        <v/>
      </c>
      <c r="L19" s="37" t="str">
        <f aca="false">IF(OR($F19="",$G19=""),"",EDATE($F19,ROUND($G19*12,0)))</f>
        <v/>
      </c>
      <c r="M19" s="17" t="str">
        <f aca="false">IF($I19="","",IF($I19&lt;=$H$3,"VERDE",IF($I19&lt;=$J$3,"AMARILLO",IF($I19&lt;1,"NARANJA","ROJO"))))</f>
        <v/>
      </c>
      <c r="N19" s="33"/>
      <c r="O19" s="33"/>
      <c r="P19" s="33"/>
      <c r="Q19" s="38"/>
      <c r="R19" s="17" t="str">
        <f aca="false">IF($I19="","",IF(OR($I19&gt;=1,$P19="SI",AND($I19&gt;=0.81,OR($N19="MALO",$N19="INSERVIBLE"))),"SI","NO"))</f>
        <v/>
      </c>
      <c r="S19" s="38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4"/>
      <c r="G20" s="33"/>
      <c r="H20" s="35" t="str">
        <f aca="false">IF(OR($F20="",$G20=""),"",($B$3-$F20)/365.25)</f>
        <v/>
      </c>
      <c r="I20" s="35" t="str">
        <f aca="false">IF(OR($H20="",$G20=""),"",$H20/$G20)</f>
        <v/>
      </c>
      <c r="J20" s="36" t="str">
        <f aca="false">IF($I20="","",$I20*100)</f>
        <v/>
      </c>
      <c r="K20" s="35" t="str">
        <f aca="false">IF($H20="","",$G20-$H20)</f>
        <v/>
      </c>
      <c r="L20" s="37" t="str">
        <f aca="false">IF(OR($F20="",$G20=""),"",EDATE($F20,ROUND($G20*12,0)))</f>
        <v/>
      </c>
      <c r="M20" s="17" t="str">
        <f aca="false">IF($I20="","",IF($I20&lt;=$H$3,"VERDE",IF($I20&lt;=$J$3,"AMARILLO",IF($I20&lt;1,"NARANJA","ROJO"))))</f>
        <v/>
      </c>
      <c r="N20" s="33"/>
      <c r="O20" s="33"/>
      <c r="P20" s="33"/>
      <c r="Q20" s="38"/>
      <c r="R20" s="17" t="str">
        <f aca="false">IF($I20="","",IF(OR($I20&gt;=1,$P20="SI",AND($I20&gt;=0.81,OR($N20="MALO",$N20="INSERVIBLE"))),"SI","NO"))</f>
        <v/>
      </c>
      <c r="S20" s="38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4"/>
      <c r="G21" s="33"/>
      <c r="H21" s="35" t="str">
        <f aca="false">IF(OR($F21="",$G21=""),"",($B$3-$F21)/365.25)</f>
        <v/>
      </c>
      <c r="I21" s="35" t="str">
        <f aca="false">IF(OR($H21="",$G21=""),"",$H21/$G21)</f>
        <v/>
      </c>
      <c r="J21" s="36" t="str">
        <f aca="false">IF($I21="","",$I21*100)</f>
        <v/>
      </c>
      <c r="K21" s="35" t="str">
        <f aca="false">IF($H21="","",$G21-$H21)</f>
        <v/>
      </c>
      <c r="L21" s="37" t="str">
        <f aca="false">IF(OR($F21="",$G21=""),"",EDATE($F21,ROUND($G21*12,0)))</f>
        <v/>
      </c>
      <c r="M21" s="17" t="str">
        <f aca="false">IF($I21="","",IF($I21&lt;=$H$3,"VERDE",IF($I21&lt;=$J$3,"AMARILLO",IF($I21&lt;1,"NARANJA","ROJO"))))</f>
        <v/>
      </c>
      <c r="N21" s="33"/>
      <c r="O21" s="33"/>
      <c r="P21" s="33"/>
      <c r="Q21" s="38"/>
      <c r="R21" s="17" t="str">
        <f aca="false">IF($I21="","",IF(OR($I21&gt;=1,$P21="SI",AND($I21&gt;=0.81,OR($N21="MALO",$N21="INSERVIBLE"))),"SI","NO"))</f>
        <v/>
      </c>
      <c r="S21" s="38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4"/>
      <c r="G22" s="33"/>
      <c r="H22" s="35" t="str">
        <f aca="false">IF(OR($F22="",$G22=""),"",($B$3-$F22)/365.25)</f>
        <v/>
      </c>
      <c r="I22" s="35" t="str">
        <f aca="false">IF(OR($H22="",$G22=""),"",$H22/$G22)</f>
        <v/>
      </c>
      <c r="J22" s="36" t="str">
        <f aca="false">IF($I22="","",$I22*100)</f>
        <v/>
      </c>
      <c r="K22" s="35" t="str">
        <f aca="false">IF($H22="","",$G22-$H22)</f>
        <v/>
      </c>
      <c r="L22" s="37" t="str">
        <f aca="false">IF(OR($F22="",$G22=""),"",EDATE($F22,ROUND($G22*12,0)))</f>
        <v/>
      </c>
      <c r="M22" s="17" t="str">
        <f aca="false">IF($I22="","",IF($I22&lt;=$H$3,"VERDE",IF($I22&lt;=$J$3,"AMARILLO",IF($I22&lt;1,"NARANJA","ROJO"))))</f>
        <v/>
      </c>
      <c r="N22" s="33"/>
      <c r="O22" s="33"/>
      <c r="P22" s="33"/>
      <c r="Q22" s="38"/>
      <c r="R22" s="17" t="str">
        <f aca="false">IF($I22="","",IF(OR($I22&gt;=1,$P22="SI",AND($I22&gt;=0.81,OR($N22="MALO",$N22="INSERVIBLE"))),"SI","NO"))</f>
        <v/>
      </c>
      <c r="S22" s="38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4"/>
      <c r="G23" s="33"/>
      <c r="H23" s="35" t="str">
        <f aca="false">IF(OR($F23="",$G23=""),"",($B$3-$F23)/365.25)</f>
        <v/>
      </c>
      <c r="I23" s="35" t="str">
        <f aca="false">IF(OR($H23="",$G23=""),"",$H23/$G23)</f>
        <v/>
      </c>
      <c r="J23" s="36" t="str">
        <f aca="false">IF($I23="","",$I23*100)</f>
        <v/>
      </c>
      <c r="K23" s="35" t="str">
        <f aca="false">IF($H23="","",$G23-$H23)</f>
        <v/>
      </c>
      <c r="L23" s="37" t="str">
        <f aca="false">IF(OR($F23="",$G23=""),"",EDATE($F23,ROUND($G23*12,0)))</f>
        <v/>
      </c>
      <c r="M23" s="17" t="str">
        <f aca="false">IF($I23="","",IF($I23&lt;=$H$3,"VERDE",IF($I23&lt;=$J$3,"AMARILLO",IF($I23&lt;1,"NARANJA","ROJO"))))</f>
        <v/>
      </c>
      <c r="N23" s="33"/>
      <c r="O23" s="33"/>
      <c r="P23" s="33"/>
      <c r="Q23" s="38"/>
      <c r="R23" s="17" t="str">
        <f aca="false">IF($I23="","",IF(OR($I23&gt;=1,$P23="SI",AND($I23&gt;=0.81,OR($N23="MALO",$N23="INSERVIBLE"))),"SI","NO"))</f>
        <v/>
      </c>
      <c r="S23" s="38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4"/>
      <c r="G24" s="33"/>
      <c r="H24" s="35" t="str">
        <f aca="false">IF(OR($F24="",$G24=""),"",($B$3-$F24)/365.25)</f>
        <v/>
      </c>
      <c r="I24" s="35" t="str">
        <f aca="false">IF(OR($H24="",$G24=""),"",$H24/$G24)</f>
        <v/>
      </c>
      <c r="J24" s="36" t="str">
        <f aca="false">IF($I24="","",$I24*100)</f>
        <v/>
      </c>
      <c r="K24" s="35" t="str">
        <f aca="false">IF($H24="","",$G24-$H24)</f>
        <v/>
      </c>
      <c r="L24" s="37" t="str">
        <f aca="false">IF(OR($F24="",$G24=""),"",EDATE($F24,ROUND($G24*12,0)))</f>
        <v/>
      </c>
      <c r="M24" s="17" t="str">
        <f aca="false">IF($I24="","",IF($I24&lt;=$H$3,"VERDE",IF($I24&lt;=$J$3,"AMARILLO",IF($I24&lt;1,"NARANJA","ROJO"))))</f>
        <v/>
      </c>
      <c r="N24" s="33"/>
      <c r="O24" s="33"/>
      <c r="P24" s="33"/>
      <c r="Q24" s="38"/>
      <c r="R24" s="17" t="str">
        <f aca="false">IF($I24="","",IF(OR($I24&gt;=1,$P24="SI",AND($I24&gt;=0.81,OR($N24="MALO",$N24="INSERVIBLE"))),"SI","NO"))</f>
        <v/>
      </c>
      <c r="S24" s="38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4"/>
      <c r="G25" s="33"/>
      <c r="H25" s="35" t="str">
        <f aca="false">IF(OR($F25="",$G25=""),"",($B$3-$F25)/365.25)</f>
        <v/>
      </c>
      <c r="I25" s="35" t="str">
        <f aca="false">IF(OR($H25="",$G25=""),"",$H25/$G25)</f>
        <v/>
      </c>
      <c r="J25" s="36" t="str">
        <f aca="false">IF($I25="","",$I25*100)</f>
        <v/>
      </c>
      <c r="K25" s="35" t="str">
        <f aca="false">IF($H25="","",$G25-$H25)</f>
        <v/>
      </c>
      <c r="L25" s="37" t="str">
        <f aca="false">IF(OR($F25="",$G25=""),"",EDATE($F25,ROUND($G25*12,0)))</f>
        <v/>
      </c>
      <c r="M25" s="17" t="str">
        <f aca="false">IF($I25="","",IF($I25&lt;=$H$3,"VERDE",IF($I25&lt;=$J$3,"AMARILLO",IF($I25&lt;1,"NARANJA","ROJO"))))</f>
        <v/>
      </c>
      <c r="N25" s="33"/>
      <c r="O25" s="33"/>
      <c r="P25" s="33"/>
      <c r="Q25" s="38"/>
      <c r="R25" s="17" t="str">
        <f aca="false">IF($I25="","",IF(OR($I25&gt;=1,$P25="SI",AND($I25&gt;=0.81,OR($N25="MALO",$N25="INSERVIBLE"))),"SI","NO"))</f>
        <v/>
      </c>
      <c r="S25" s="38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4"/>
      <c r="G26" s="33"/>
      <c r="H26" s="35" t="str">
        <f aca="false">IF(OR($F26="",$G26=""),"",($B$3-$F26)/365.25)</f>
        <v/>
      </c>
      <c r="I26" s="35" t="str">
        <f aca="false">IF(OR($H26="",$G26=""),"",$H26/$G26)</f>
        <v/>
      </c>
      <c r="J26" s="36" t="str">
        <f aca="false">IF($I26="","",$I26*100)</f>
        <v/>
      </c>
      <c r="K26" s="35" t="str">
        <f aca="false">IF($H26="","",$G26-$H26)</f>
        <v/>
      </c>
      <c r="L26" s="37" t="str">
        <f aca="false">IF(OR($F26="",$G26=""),"",EDATE($F26,ROUND($G26*12,0)))</f>
        <v/>
      </c>
      <c r="M26" s="17" t="str">
        <f aca="false">IF($I26="","",IF($I26&lt;=$H$3,"VERDE",IF($I26&lt;=$J$3,"AMARILLO",IF($I26&lt;1,"NARANJA","ROJO"))))</f>
        <v/>
      </c>
      <c r="N26" s="33"/>
      <c r="O26" s="33"/>
      <c r="P26" s="33"/>
      <c r="Q26" s="38"/>
      <c r="R26" s="17" t="str">
        <f aca="false">IF($I26="","",IF(OR($I26&gt;=1,$P26="SI",AND($I26&gt;=0.81,OR($N26="MALO",$N26="INSERVIBLE"))),"SI","NO"))</f>
        <v/>
      </c>
      <c r="S26" s="38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4"/>
      <c r="G27" s="33"/>
      <c r="H27" s="35" t="str">
        <f aca="false">IF(OR($F27="",$G27=""),"",($B$3-$F27)/365.25)</f>
        <v/>
      </c>
      <c r="I27" s="35" t="str">
        <f aca="false">IF(OR($H27="",$G27=""),"",$H27/$G27)</f>
        <v/>
      </c>
      <c r="J27" s="36" t="str">
        <f aca="false">IF($I27="","",$I27*100)</f>
        <v/>
      </c>
      <c r="K27" s="35" t="str">
        <f aca="false">IF($H27="","",$G27-$H27)</f>
        <v/>
      </c>
      <c r="L27" s="37" t="str">
        <f aca="false">IF(OR($F27="",$G27=""),"",EDATE($F27,ROUND($G27*12,0)))</f>
        <v/>
      </c>
      <c r="M27" s="17" t="str">
        <f aca="false">IF($I27="","",IF($I27&lt;=$H$3,"VERDE",IF($I27&lt;=$J$3,"AMARILLO",IF($I27&lt;1,"NARANJA","ROJO"))))</f>
        <v/>
      </c>
      <c r="N27" s="33"/>
      <c r="O27" s="33"/>
      <c r="P27" s="33"/>
      <c r="Q27" s="38"/>
      <c r="R27" s="17" t="str">
        <f aca="false">IF($I27="","",IF(OR($I27&gt;=1,$P27="SI",AND($I27&gt;=0.81,OR($N27="MALO",$N27="INSERVIBLE"))),"SI","NO"))</f>
        <v/>
      </c>
      <c r="S27" s="38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4"/>
      <c r="G28" s="33"/>
      <c r="H28" s="35" t="str">
        <f aca="false">IF(OR($F28="",$G28=""),"",($B$3-$F28)/365.25)</f>
        <v/>
      </c>
      <c r="I28" s="35" t="str">
        <f aca="false">IF(OR($H28="",$G28=""),"",$H28/$G28)</f>
        <v/>
      </c>
      <c r="J28" s="36" t="str">
        <f aca="false">IF($I28="","",$I28*100)</f>
        <v/>
      </c>
      <c r="K28" s="35" t="str">
        <f aca="false">IF($H28="","",$G28-$H28)</f>
        <v/>
      </c>
      <c r="L28" s="37" t="str">
        <f aca="false">IF(OR($F28="",$G28=""),"",EDATE($F28,ROUND($G28*12,0)))</f>
        <v/>
      </c>
      <c r="M28" s="17" t="str">
        <f aca="false">IF($I28="","",IF($I28&lt;=$H$3,"VERDE",IF($I28&lt;=$J$3,"AMARILLO",IF($I28&lt;1,"NARANJA","ROJO"))))</f>
        <v/>
      </c>
      <c r="N28" s="33"/>
      <c r="O28" s="33"/>
      <c r="P28" s="33"/>
      <c r="Q28" s="38"/>
      <c r="R28" s="17" t="str">
        <f aca="false">IF($I28="","",IF(OR($I28&gt;=1,$P28="SI",AND($I28&gt;=0.81,OR($N28="MALO",$N28="INSERVIBLE"))),"SI","NO"))</f>
        <v/>
      </c>
      <c r="S28" s="38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4"/>
      <c r="G29" s="33"/>
      <c r="H29" s="35" t="str">
        <f aca="false">IF(OR($F29="",$G29=""),"",($B$3-$F29)/365.25)</f>
        <v/>
      </c>
      <c r="I29" s="35" t="str">
        <f aca="false">IF(OR($H29="",$G29=""),"",$H29/$G29)</f>
        <v/>
      </c>
      <c r="J29" s="36" t="str">
        <f aca="false">IF($I29="","",$I29*100)</f>
        <v/>
      </c>
      <c r="K29" s="35" t="str">
        <f aca="false">IF($H29="","",$G29-$H29)</f>
        <v/>
      </c>
      <c r="L29" s="37" t="str">
        <f aca="false">IF(OR($F29="",$G29=""),"",EDATE($F29,ROUND($G29*12,0)))</f>
        <v/>
      </c>
      <c r="M29" s="17" t="str">
        <f aca="false">IF($I29="","",IF($I29&lt;=$H$3,"VERDE",IF($I29&lt;=$J$3,"AMARILLO",IF($I29&lt;1,"NARANJA","ROJO"))))</f>
        <v/>
      </c>
      <c r="N29" s="33"/>
      <c r="O29" s="33"/>
      <c r="P29" s="33"/>
      <c r="Q29" s="38"/>
      <c r="R29" s="17" t="str">
        <f aca="false">IF($I29="","",IF(OR($I29&gt;=1,$P29="SI",AND($I29&gt;=0.81,OR($N29="MALO",$N29="INSERVIBLE"))),"SI","NO"))</f>
        <v/>
      </c>
      <c r="S29" s="38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4"/>
      <c r="G30" s="33"/>
      <c r="H30" s="35" t="str">
        <f aca="false">IF(OR($F30="",$G30=""),"",($B$3-$F30)/365.25)</f>
        <v/>
      </c>
      <c r="I30" s="35" t="str">
        <f aca="false">IF(OR($H30="",$G30=""),"",$H30/$G30)</f>
        <v/>
      </c>
      <c r="J30" s="36" t="str">
        <f aca="false">IF($I30="","",$I30*100)</f>
        <v/>
      </c>
      <c r="K30" s="35" t="str">
        <f aca="false">IF($H30="","",$G30-$H30)</f>
        <v/>
      </c>
      <c r="L30" s="37" t="str">
        <f aca="false">IF(OR($F30="",$G30=""),"",EDATE($F30,ROUND($G30*12,0)))</f>
        <v/>
      </c>
      <c r="M30" s="17" t="str">
        <f aca="false">IF($I30="","",IF($I30&lt;=$H$3,"VERDE",IF($I30&lt;=$J$3,"AMARILLO",IF($I30&lt;1,"NARANJA","ROJO"))))</f>
        <v/>
      </c>
      <c r="N30" s="33"/>
      <c r="O30" s="33"/>
      <c r="P30" s="33"/>
      <c r="Q30" s="38"/>
      <c r="R30" s="17" t="str">
        <f aca="false">IF($I30="","",IF(OR($I30&gt;=1,$P30="SI",AND($I30&gt;=0.81,OR($N30="MALO",$N30="INSERVIBLE"))),"SI","NO"))</f>
        <v/>
      </c>
      <c r="S30" s="38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4"/>
      <c r="G31" s="33"/>
      <c r="H31" s="35" t="str">
        <f aca="false">IF(OR($F31="",$G31=""),"",($B$3-$F31)/365.25)</f>
        <v/>
      </c>
      <c r="I31" s="35" t="str">
        <f aca="false">IF(OR($H31="",$G31=""),"",$H31/$G31)</f>
        <v/>
      </c>
      <c r="J31" s="36" t="str">
        <f aca="false">IF($I31="","",$I31*100)</f>
        <v/>
      </c>
      <c r="K31" s="35" t="str">
        <f aca="false">IF($H31="","",$G31-$H31)</f>
        <v/>
      </c>
      <c r="L31" s="37" t="str">
        <f aca="false">IF(OR($F31="",$G31=""),"",EDATE($F31,ROUND($G31*12,0)))</f>
        <v/>
      </c>
      <c r="M31" s="17" t="str">
        <f aca="false">IF($I31="","",IF($I31&lt;=$H$3,"VERDE",IF($I31&lt;=$J$3,"AMARILLO",IF($I31&lt;1,"NARANJA","ROJO"))))</f>
        <v/>
      </c>
      <c r="N31" s="33"/>
      <c r="O31" s="33"/>
      <c r="P31" s="33"/>
      <c r="Q31" s="38"/>
      <c r="R31" s="17" t="str">
        <f aca="false">IF($I31="","",IF(OR($I31&gt;=1,$P31="SI",AND($I31&gt;=0.81,OR($N31="MALO",$N31="INSERVIBLE"))),"SI","NO"))</f>
        <v/>
      </c>
      <c r="S31" s="38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4"/>
      <c r="G32" s="33"/>
      <c r="H32" s="35" t="str">
        <f aca="false">IF(OR($F32="",$G32=""),"",($B$3-$F32)/365.25)</f>
        <v/>
      </c>
      <c r="I32" s="35" t="str">
        <f aca="false">IF(OR($H32="",$G32=""),"",$H32/$G32)</f>
        <v/>
      </c>
      <c r="J32" s="36" t="str">
        <f aca="false">IF($I32="","",$I32*100)</f>
        <v/>
      </c>
      <c r="K32" s="35" t="str">
        <f aca="false">IF($H32="","",$G32-$H32)</f>
        <v/>
      </c>
      <c r="L32" s="37" t="str">
        <f aca="false">IF(OR($F32="",$G32=""),"",EDATE($F32,ROUND($G32*12,0)))</f>
        <v/>
      </c>
      <c r="M32" s="17" t="str">
        <f aca="false">IF($I32="","",IF($I32&lt;=$H$3,"VERDE",IF($I32&lt;=$J$3,"AMARILLO",IF($I32&lt;1,"NARANJA","ROJO"))))</f>
        <v/>
      </c>
      <c r="N32" s="33"/>
      <c r="O32" s="33"/>
      <c r="P32" s="33"/>
      <c r="Q32" s="38"/>
      <c r="R32" s="17" t="str">
        <f aca="false">IF($I32="","",IF(OR($I32&gt;=1,$P32="SI",AND($I32&gt;=0.81,OR($N32="MALO",$N32="INSERVIBLE"))),"SI","NO"))</f>
        <v/>
      </c>
      <c r="S32" s="38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4"/>
      <c r="G33" s="33"/>
      <c r="H33" s="35" t="str">
        <f aca="false">IF(OR($F33="",$G33=""),"",($B$3-$F33)/365.25)</f>
        <v/>
      </c>
      <c r="I33" s="35" t="str">
        <f aca="false">IF(OR($H33="",$G33=""),"",$H33/$G33)</f>
        <v/>
      </c>
      <c r="J33" s="36" t="str">
        <f aca="false">IF($I33="","",$I33*100)</f>
        <v/>
      </c>
      <c r="K33" s="35" t="str">
        <f aca="false">IF($H33="","",$G33-$H33)</f>
        <v/>
      </c>
      <c r="L33" s="37" t="str">
        <f aca="false">IF(OR($F33="",$G33=""),"",EDATE($F33,ROUND($G33*12,0)))</f>
        <v/>
      </c>
      <c r="M33" s="17" t="str">
        <f aca="false">IF($I33="","",IF($I33&lt;=$H$3,"VERDE",IF($I33&lt;=$J$3,"AMARILLO",IF($I33&lt;1,"NARANJA","ROJO"))))</f>
        <v/>
      </c>
      <c r="N33" s="33"/>
      <c r="O33" s="33"/>
      <c r="P33" s="33"/>
      <c r="Q33" s="38"/>
      <c r="R33" s="17" t="str">
        <f aca="false">IF($I33="","",IF(OR($I33&gt;=1,$P33="SI",AND($I33&gt;=0.81,OR($N33="MALO",$N33="INSERVIBLE"))),"SI","NO"))</f>
        <v/>
      </c>
      <c r="S33" s="38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4"/>
      <c r="G34" s="33"/>
      <c r="H34" s="35" t="str">
        <f aca="false">IF(OR($F34="",$G34=""),"",($B$3-$F34)/365.25)</f>
        <v/>
      </c>
      <c r="I34" s="35" t="str">
        <f aca="false">IF(OR($H34="",$G34=""),"",$H34/$G34)</f>
        <v/>
      </c>
      <c r="J34" s="36" t="str">
        <f aca="false">IF($I34="","",$I34*100)</f>
        <v/>
      </c>
      <c r="K34" s="35" t="str">
        <f aca="false">IF($H34="","",$G34-$H34)</f>
        <v/>
      </c>
      <c r="L34" s="37" t="str">
        <f aca="false">IF(OR($F34="",$G34=""),"",EDATE($F34,ROUND($G34*12,0)))</f>
        <v/>
      </c>
      <c r="M34" s="17" t="str">
        <f aca="false">IF($I34="","",IF($I34&lt;=$H$3,"VERDE",IF($I34&lt;=$J$3,"AMARILLO",IF($I34&lt;1,"NARANJA","ROJO"))))</f>
        <v/>
      </c>
      <c r="N34" s="33"/>
      <c r="O34" s="33"/>
      <c r="P34" s="33"/>
      <c r="Q34" s="38"/>
      <c r="R34" s="17" t="str">
        <f aca="false">IF($I34="","",IF(OR($I34&gt;=1,$P34="SI",AND($I34&gt;=0.81,OR($N34="MALO",$N34="INSERVIBLE"))),"SI","NO"))</f>
        <v/>
      </c>
      <c r="S34" s="38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4"/>
      <c r="G35" s="33"/>
      <c r="H35" s="35" t="str">
        <f aca="false">IF(OR($F35="",$G35=""),"",($B$3-$F35)/365.25)</f>
        <v/>
      </c>
      <c r="I35" s="35" t="str">
        <f aca="false">IF(OR($H35="",$G35=""),"",$H35/$G35)</f>
        <v/>
      </c>
      <c r="J35" s="36" t="str">
        <f aca="false">IF($I35="","",$I35*100)</f>
        <v/>
      </c>
      <c r="K35" s="35" t="str">
        <f aca="false">IF($H35="","",$G35-$H35)</f>
        <v/>
      </c>
      <c r="L35" s="37" t="str">
        <f aca="false">IF(OR($F35="",$G35=""),"",EDATE($F35,ROUND($G35*12,0)))</f>
        <v/>
      </c>
      <c r="M35" s="17" t="str">
        <f aca="false">IF($I35="","",IF($I35&lt;=$H$3,"VERDE",IF($I35&lt;=$J$3,"AMARILLO",IF($I35&lt;1,"NARANJA","ROJO"))))</f>
        <v/>
      </c>
      <c r="N35" s="33"/>
      <c r="O35" s="33"/>
      <c r="P35" s="33"/>
      <c r="Q35" s="38"/>
      <c r="R35" s="17" t="str">
        <f aca="false">IF($I35="","",IF(OR($I35&gt;=1,$P35="SI",AND($I35&gt;=0.81,OR($N35="MALO",$N35="INSERVIBLE"))),"SI","NO"))</f>
        <v/>
      </c>
      <c r="S35" s="38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4"/>
      <c r="G36" s="33"/>
      <c r="H36" s="35" t="str">
        <f aca="false">IF(OR($F36="",$G36=""),"",($B$3-$F36)/365.25)</f>
        <v/>
      </c>
      <c r="I36" s="35" t="str">
        <f aca="false">IF(OR($H36="",$G36=""),"",$H36/$G36)</f>
        <v/>
      </c>
      <c r="J36" s="36" t="str">
        <f aca="false">IF($I36="","",$I36*100)</f>
        <v/>
      </c>
      <c r="K36" s="35" t="str">
        <f aca="false">IF($H36="","",$G36-$H36)</f>
        <v/>
      </c>
      <c r="L36" s="37" t="str">
        <f aca="false">IF(OR($F36="",$G36=""),"",EDATE($F36,ROUND($G36*12,0)))</f>
        <v/>
      </c>
      <c r="M36" s="17" t="str">
        <f aca="false">IF($I36="","",IF($I36&lt;=$H$3,"VERDE",IF($I36&lt;=$J$3,"AMARILLO",IF($I36&lt;1,"NARANJA","ROJO"))))</f>
        <v/>
      </c>
      <c r="N36" s="33"/>
      <c r="O36" s="33"/>
      <c r="P36" s="33"/>
      <c r="Q36" s="38"/>
      <c r="R36" s="17" t="str">
        <f aca="false">IF($I36="","",IF(OR($I36&gt;=1,$P36="SI",AND($I36&gt;=0.81,OR($N36="MALO",$N36="INSERVIBLE"))),"SI","NO"))</f>
        <v/>
      </c>
      <c r="S36" s="38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4"/>
      <c r="G37" s="33"/>
      <c r="H37" s="35" t="str">
        <f aca="false">IF(OR($F37="",$G37=""),"",($B$3-$F37)/365.25)</f>
        <v/>
      </c>
      <c r="I37" s="35" t="str">
        <f aca="false">IF(OR($H37="",$G37=""),"",$H37/$G37)</f>
        <v/>
      </c>
      <c r="J37" s="36" t="str">
        <f aca="false">IF($I37="","",$I37*100)</f>
        <v/>
      </c>
      <c r="K37" s="35" t="str">
        <f aca="false">IF($H37="","",$G37-$H37)</f>
        <v/>
      </c>
      <c r="L37" s="37" t="str">
        <f aca="false">IF(OR($F37="",$G37=""),"",EDATE($F37,ROUND($G37*12,0)))</f>
        <v/>
      </c>
      <c r="M37" s="17" t="str">
        <f aca="false">IF($I37="","",IF($I37&lt;=$H$3,"VERDE",IF($I37&lt;=$J$3,"AMARILLO",IF($I37&lt;1,"NARANJA","ROJO"))))</f>
        <v/>
      </c>
      <c r="N37" s="33"/>
      <c r="O37" s="33"/>
      <c r="P37" s="33"/>
      <c r="Q37" s="38"/>
      <c r="R37" s="17" t="str">
        <f aca="false">IF($I37="","",IF(OR($I37&gt;=1,$P37="SI",AND($I37&gt;=0.81,OR($N37="MALO",$N37="INSERVIBLE"))),"SI","NO"))</f>
        <v/>
      </c>
      <c r="S37" s="38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4"/>
      <c r="G38" s="33"/>
      <c r="H38" s="35" t="str">
        <f aca="false">IF(OR($F38="",$G38=""),"",($B$3-$F38)/365.25)</f>
        <v/>
      </c>
      <c r="I38" s="35" t="str">
        <f aca="false">IF(OR($H38="",$G38=""),"",$H38/$G38)</f>
        <v/>
      </c>
      <c r="J38" s="36" t="str">
        <f aca="false">IF($I38="","",$I38*100)</f>
        <v/>
      </c>
      <c r="K38" s="35" t="str">
        <f aca="false">IF($H38="","",$G38-$H38)</f>
        <v/>
      </c>
      <c r="L38" s="37" t="str">
        <f aca="false">IF(OR($F38="",$G38=""),"",EDATE($F38,ROUND($G38*12,0)))</f>
        <v/>
      </c>
      <c r="M38" s="17" t="str">
        <f aca="false">IF($I38="","",IF($I38&lt;=$H$3,"VERDE",IF($I38&lt;=$J$3,"AMARILLO",IF($I38&lt;1,"NARANJA","ROJO"))))</f>
        <v/>
      </c>
      <c r="N38" s="33"/>
      <c r="O38" s="33"/>
      <c r="P38" s="33"/>
      <c r="Q38" s="38"/>
      <c r="R38" s="17" t="str">
        <f aca="false">IF($I38="","",IF(OR($I38&gt;=1,$P38="SI",AND($I38&gt;=0.81,OR($N38="MALO",$N38="INSERVIBLE"))),"SI","NO"))</f>
        <v/>
      </c>
      <c r="S38" s="38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4"/>
      <c r="G39" s="33"/>
      <c r="H39" s="35" t="str">
        <f aca="false">IF(OR($F39="",$G39=""),"",($B$3-$F39)/365.25)</f>
        <v/>
      </c>
      <c r="I39" s="35" t="str">
        <f aca="false">IF(OR($H39="",$G39=""),"",$H39/$G39)</f>
        <v/>
      </c>
      <c r="J39" s="36" t="str">
        <f aca="false">IF($I39="","",$I39*100)</f>
        <v/>
      </c>
      <c r="K39" s="35" t="str">
        <f aca="false">IF($H39="","",$G39-$H39)</f>
        <v/>
      </c>
      <c r="L39" s="37" t="str">
        <f aca="false">IF(OR($F39="",$G39=""),"",EDATE($F39,ROUND($G39*12,0)))</f>
        <v/>
      </c>
      <c r="M39" s="17" t="str">
        <f aca="false">IF($I39="","",IF($I39&lt;=$H$3,"VERDE",IF($I39&lt;=$J$3,"AMARILLO",IF($I39&lt;1,"NARANJA","ROJO"))))</f>
        <v/>
      </c>
      <c r="N39" s="33"/>
      <c r="O39" s="33"/>
      <c r="P39" s="33"/>
      <c r="Q39" s="38"/>
      <c r="R39" s="17" t="str">
        <f aca="false">IF($I39="","",IF(OR($I39&gt;=1,$P39="SI",AND($I39&gt;=0.81,OR($N39="MALO",$N39="INSERVIBLE"))),"SI","NO"))</f>
        <v/>
      </c>
      <c r="S39" s="38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4"/>
      <c r="G40" s="33"/>
      <c r="H40" s="35" t="str">
        <f aca="false">IF(OR($F40="",$G40=""),"",($B$3-$F40)/365.25)</f>
        <v/>
      </c>
      <c r="I40" s="35" t="str">
        <f aca="false">IF(OR($H40="",$G40=""),"",$H40/$G40)</f>
        <v/>
      </c>
      <c r="J40" s="36" t="str">
        <f aca="false">IF($I40="","",$I40*100)</f>
        <v/>
      </c>
      <c r="K40" s="35" t="str">
        <f aca="false">IF($H40="","",$G40-$H40)</f>
        <v/>
      </c>
      <c r="L40" s="37" t="str">
        <f aca="false">IF(OR($F40="",$G40=""),"",EDATE($F40,ROUND($G40*12,0)))</f>
        <v/>
      </c>
      <c r="M40" s="17" t="str">
        <f aca="false">IF($I40="","",IF($I40&lt;=$H$3,"VERDE",IF($I40&lt;=$J$3,"AMARILLO",IF($I40&lt;1,"NARANJA","ROJO"))))</f>
        <v/>
      </c>
      <c r="N40" s="33"/>
      <c r="O40" s="33"/>
      <c r="P40" s="33"/>
      <c r="Q40" s="38"/>
      <c r="R40" s="17" t="str">
        <f aca="false">IF($I40="","",IF(OR($I40&gt;=1,$P40="SI",AND($I40&gt;=0.81,OR($N40="MALO",$N40="INSERVIBLE"))),"SI","NO"))</f>
        <v/>
      </c>
      <c r="S40" s="38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4"/>
      <c r="G41" s="33"/>
      <c r="H41" s="35" t="str">
        <f aca="false">IF(OR($F41="",$G41=""),"",($B$3-$F41)/365.25)</f>
        <v/>
      </c>
      <c r="I41" s="35" t="str">
        <f aca="false">IF(OR($H41="",$G41=""),"",$H41/$G41)</f>
        <v/>
      </c>
      <c r="J41" s="36" t="str">
        <f aca="false">IF($I41="","",$I41*100)</f>
        <v/>
      </c>
      <c r="K41" s="35" t="str">
        <f aca="false">IF($H41="","",$G41-$H41)</f>
        <v/>
      </c>
      <c r="L41" s="37" t="str">
        <f aca="false">IF(OR($F41="",$G41=""),"",EDATE($F41,ROUND($G41*12,0)))</f>
        <v/>
      </c>
      <c r="M41" s="17" t="str">
        <f aca="false">IF($I41="","",IF($I41&lt;=$H$3,"VERDE",IF($I41&lt;=$J$3,"AMARILLO",IF($I41&lt;1,"NARANJA","ROJO"))))</f>
        <v/>
      </c>
      <c r="N41" s="33"/>
      <c r="O41" s="33"/>
      <c r="P41" s="33"/>
      <c r="Q41" s="38"/>
      <c r="R41" s="17" t="str">
        <f aca="false">IF($I41="","",IF(OR($I41&gt;=1,$P41="SI",AND($I41&gt;=0.81,OR($N41="MALO",$N41="INSERVIBLE"))),"SI","NO"))</f>
        <v/>
      </c>
      <c r="S41" s="38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4"/>
      <c r="G42" s="33"/>
      <c r="H42" s="35" t="str">
        <f aca="false">IF(OR($F42="",$G42=""),"",($B$3-$F42)/365.25)</f>
        <v/>
      </c>
      <c r="I42" s="35" t="str">
        <f aca="false">IF(OR($H42="",$G42=""),"",$H42/$G42)</f>
        <v/>
      </c>
      <c r="J42" s="36" t="str">
        <f aca="false">IF($I42="","",$I42*100)</f>
        <v/>
      </c>
      <c r="K42" s="35" t="str">
        <f aca="false">IF($H42="","",$G42-$H42)</f>
        <v/>
      </c>
      <c r="L42" s="37" t="str">
        <f aca="false">IF(OR($F42="",$G42=""),"",EDATE($F42,ROUND($G42*12,0)))</f>
        <v/>
      </c>
      <c r="M42" s="17" t="str">
        <f aca="false">IF($I42="","",IF($I42&lt;=$H$3,"VERDE",IF($I42&lt;=$J$3,"AMARILLO",IF($I42&lt;1,"NARANJA","ROJO"))))</f>
        <v/>
      </c>
      <c r="N42" s="33"/>
      <c r="O42" s="33"/>
      <c r="P42" s="33"/>
      <c r="Q42" s="38"/>
      <c r="R42" s="17" t="str">
        <f aca="false">IF($I42="","",IF(OR($I42&gt;=1,$P42="SI",AND($I42&gt;=0.81,OR($N42="MALO",$N42="INSERVIBLE"))),"SI","NO"))</f>
        <v/>
      </c>
      <c r="S42" s="38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4"/>
      <c r="G43" s="33"/>
      <c r="H43" s="35" t="str">
        <f aca="false">IF(OR($F43="",$G43=""),"",($B$3-$F43)/365.25)</f>
        <v/>
      </c>
      <c r="I43" s="35" t="str">
        <f aca="false">IF(OR($H43="",$G43=""),"",$H43/$G43)</f>
        <v/>
      </c>
      <c r="J43" s="36" t="str">
        <f aca="false">IF($I43="","",$I43*100)</f>
        <v/>
      </c>
      <c r="K43" s="35" t="str">
        <f aca="false">IF($H43="","",$G43-$H43)</f>
        <v/>
      </c>
      <c r="L43" s="37" t="str">
        <f aca="false">IF(OR($F43="",$G43=""),"",EDATE($F43,ROUND($G43*12,0)))</f>
        <v/>
      </c>
      <c r="M43" s="17" t="str">
        <f aca="false">IF($I43="","",IF($I43&lt;=$H$3,"VERDE",IF($I43&lt;=$J$3,"AMARILLO",IF($I43&lt;1,"NARANJA","ROJO"))))</f>
        <v/>
      </c>
      <c r="N43" s="33"/>
      <c r="O43" s="33"/>
      <c r="P43" s="33"/>
      <c r="Q43" s="38"/>
      <c r="R43" s="17" t="str">
        <f aca="false">IF($I43="","",IF(OR($I43&gt;=1,$P43="SI",AND($I43&gt;=0.81,OR($N43="MALO",$N43="INSERVIBLE"))),"SI","NO"))</f>
        <v/>
      </c>
      <c r="S43" s="38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4"/>
      <c r="G44" s="33"/>
      <c r="H44" s="35" t="str">
        <f aca="false">IF(OR($F44="",$G44=""),"",($B$3-$F44)/365.25)</f>
        <v/>
      </c>
      <c r="I44" s="35" t="str">
        <f aca="false">IF(OR($H44="",$G44=""),"",$H44/$G44)</f>
        <v/>
      </c>
      <c r="J44" s="36" t="str">
        <f aca="false">IF($I44="","",$I44*100)</f>
        <v/>
      </c>
      <c r="K44" s="35" t="str">
        <f aca="false">IF($H44="","",$G44-$H44)</f>
        <v/>
      </c>
      <c r="L44" s="37" t="str">
        <f aca="false">IF(OR($F44="",$G44=""),"",EDATE($F44,ROUND($G44*12,0)))</f>
        <v/>
      </c>
      <c r="M44" s="17" t="str">
        <f aca="false">IF($I44="","",IF($I44&lt;=$H$3,"VERDE",IF($I44&lt;=$J$3,"AMARILLO",IF($I44&lt;1,"NARANJA","ROJO"))))</f>
        <v/>
      </c>
      <c r="N44" s="33"/>
      <c r="O44" s="33"/>
      <c r="P44" s="33"/>
      <c r="Q44" s="38"/>
      <c r="R44" s="17" t="str">
        <f aca="false">IF($I44="","",IF(OR($I44&gt;=1,$P44="SI",AND($I44&gt;=0.81,OR($N44="MALO",$N44="INSERVIBLE"))),"SI","NO"))</f>
        <v/>
      </c>
      <c r="S44" s="38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4"/>
      <c r="G45" s="33"/>
      <c r="H45" s="35" t="str">
        <f aca="false">IF(OR($F45="",$G45=""),"",($B$3-$F45)/365.25)</f>
        <v/>
      </c>
      <c r="I45" s="35" t="str">
        <f aca="false">IF(OR($H45="",$G45=""),"",$H45/$G45)</f>
        <v/>
      </c>
      <c r="J45" s="36" t="str">
        <f aca="false">IF($I45="","",$I45*100)</f>
        <v/>
      </c>
      <c r="K45" s="35" t="str">
        <f aca="false">IF($H45="","",$G45-$H45)</f>
        <v/>
      </c>
      <c r="L45" s="37" t="str">
        <f aca="false">IF(OR($F45="",$G45=""),"",EDATE($F45,ROUND($G45*12,0)))</f>
        <v/>
      </c>
      <c r="M45" s="17" t="str">
        <f aca="false">IF($I45="","",IF($I45&lt;=$H$3,"VERDE",IF($I45&lt;=$J$3,"AMARILLO",IF($I45&lt;1,"NARANJA","ROJO"))))</f>
        <v/>
      </c>
      <c r="N45" s="33"/>
      <c r="O45" s="33"/>
      <c r="P45" s="33"/>
      <c r="Q45" s="38"/>
      <c r="R45" s="17" t="str">
        <f aca="false">IF($I45="","",IF(OR($I45&gt;=1,$P45="SI",AND($I45&gt;=0.81,OR($N45="MALO",$N45="INSERVIBLE"))),"SI","NO"))</f>
        <v/>
      </c>
      <c r="S45" s="38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4"/>
      <c r="G46" s="33"/>
      <c r="H46" s="35" t="str">
        <f aca="false">IF(OR($F46="",$G46=""),"",($B$3-$F46)/365.25)</f>
        <v/>
      </c>
      <c r="I46" s="35" t="str">
        <f aca="false">IF(OR($H46="",$G46=""),"",$H46/$G46)</f>
        <v/>
      </c>
      <c r="J46" s="36" t="str">
        <f aca="false">IF($I46="","",$I46*100)</f>
        <v/>
      </c>
      <c r="K46" s="35" t="str">
        <f aca="false">IF($H46="","",$G46-$H46)</f>
        <v/>
      </c>
      <c r="L46" s="37" t="str">
        <f aca="false">IF(OR($F46="",$G46=""),"",EDATE($F46,ROUND($G46*12,0)))</f>
        <v/>
      </c>
      <c r="M46" s="17" t="str">
        <f aca="false">IF($I46="","",IF($I46&lt;=$H$3,"VERDE",IF($I46&lt;=$J$3,"AMARILLO",IF($I46&lt;1,"NARANJA","ROJO"))))</f>
        <v/>
      </c>
      <c r="N46" s="33"/>
      <c r="O46" s="33"/>
      <c r="P46" s="33"/>
      <c r="Q46" s="38"/>
      <c r="R46" s="17" t="str">
        <f aca="false">IF($I46="","",IF(OR($I46&gt;=1,$P46="SI",AND($I46&gt;=0.81,OR($N46="MALO",$N46="INSERVIBLE"))),"SI","NO"))</f>
        <v/>
      </c>
      <c r="S46" s="38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4"/>
      <c r="G47" s="33"/>
      <c r="H47" s="35" t="str">
        <f aca="false">IF(OR($F47="",$G47=""),"",($B$3-$F47)/365.25)</f>
        <v/>
      </c>
      <c r="I47" s="35" t="str">
        <f aca="false">IF(OR($H47="",$G47=""),"",$H47/$G47)</f>
        <v/>
      </c>
      <c r="J47" s="36" t="str">
        <f aca="false">IF($I47="","",$I47*100)</f>
        <v/>
      </c>
      <c r="K47" s="35" t="str">
        <f aca="false">IF($H47="","",$G47-$H47)</f>
        <v/>
      </c>
      <c r="L47" s="37" t="str">
        <f aca="false">IF(OR($F47="",$G47=""),"",EDATE($F47,ROUND($G47*12,0)))</f>
        <v/>
      </c>
      <c r="M47" s="17" t="str">
        <f aca="false">IF($I47="","",IF($I47&lt;=$H$3,"VERDE",IF($I47&lt;=$J$3,"AMARILLO",IF($I47&lt;1,"NARANJA","ROJO"))))</f>
        <v/>
      </c>
      <c r="N47" s="33"/>
      <c r="O47" s="33"/>
      <c r="P47" s="33"/>
      <c r="Q47" s="38"/>
      <c r="R47" s="17" t="str">
        <f aca="false">IF($I47="","",IF(OR($I47&gt;=1,$P47="SI",AND($I47&gt;=0.81,OR($N47="MALO",$N47="INSERVIBLE"))),"SI","NO"))</f>
        <v/>
      </c>
      <c r="S47" s="38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4"/>
      <c r="G48" s="33"/>
      <c r="H48" s="35" t="str">
        <f aca="false">IF(OR($F48="",$G48=""),"",($B$3-$F48)/365.25)</f>
        <v/>
      </c>
      <c r="I48" s="35" t="str">
        <f aca="false">IF(OR($H48="",$G48=""),"",$H48/$G48)</f>
        <v/>
      </c>
      <c r="J48" s="36" t="str">
        <f aca="false">IF($I48="","",$I48*100)</f>
        <v/>
      </c>
      <c r="K48" s="35" t="str">
        <f aca="false">IF($H48="","",$G48-$H48)</f>
        <v/>
      </c>
      <c r="L48" s="37" t="str">
        <f aca="false">IF(OR($F48="",$G48=""),"",EDATE($F48,ROUND($G48*12,0)))</f>
        <v/>
      </c>
      <c r="M48" s="17" t="str">
        <f aca="false">IF($I48="","",IF($I48&lt;=$H$3,"VERDE",IF($I48&lt;=$J$3,"AMARILLO",IF($I48&lt;1,"NARANJA","ROJO"))))</f>
        <v/>
      </c>
      <c r="N48" s="33"/>
      <c r="O48" s="33"/>
      <c r="P48" s="33"/>
      <c r="Q48" s="38"/>
      <c r="R48" s="17" t="str">
        <f aca="false">IF($I48="","",IF(OR($I48&gt;=1,$P48="SI",AND($I48&gt;=0.81,OR($N48="MALO",$N48="INSERVIBLE"))),"SI","NO"))</f>
        <v/>
      </c>
      <c r="S48" s="38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4"/>
      <c r="G49" s="33"/>
      <c r="H49" s="35" t="str">
        <f aca="false">IF(OR($F49="",$G49=""),"",($B$3-$F49)/365.25)</f>
        <v/>
      </c>
      <c r="I49" s="35" t="str">
        <f aca="false">IF(OR($H49="",$G49=""),"",$H49/$G49)</f>
        <v/>
      </c>
      <c r="J49" s="36" t="str">
        <f aca="false">IF($I49="","",$I49*100)</f>
        <v/>
      </c>
      <c r="K49" s="35" t="str">
        <f aca="false">IF($H49="","",$G49-$H49)</f>
        <v/>
      </c>
      <c r="L49" s="37" t="str">
        <f aca="false">IF(OR($F49="",$G49=""),"",EDATE($F49,ROUND($G49*12,0)))</f>
        <v/>
      </c>
      <c r="M49" s="17" t="str">
        <f aca="false">IF($I49="","",IF($I49&lt;=$H$3,"VERDE",IF($I49&lt;=$J$3,"AMARILLO",IF($I49&lt;1,"NARANJA","ROJO"))))</f>
        <v/>
      </c>
      <c r="N49" s="33"/>
      <c r="O49" s="33"/>
      <c r="P49" s="33"/>
      <c r="Q49" s="38"/>
      <c r="R49" s="17" t="str">
        <f aca="false">IF($I49="","",IF(OR($I49&gt;=1,$P49="SI",AND($I49&gt;=0.81,OR($N49="MALO",$N49="INSERVIBLE"))),"SI","NO"))</f>
        <v/>
      </c>
      <c r="S49" s="38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4"/>
      <c r="G50" s="33"/>
      <c r="H50" s="35" t="str">
        <f aca="false">IF(OR($F50="",$G50=""),"",($B$3-$F50)/365.25)</f>
        <v/>
      </c>
      <c r="I50" s="35" t="str">
        <f aca="false">IF(OR($H50="",$G50=""),"",$H50/$G50)</f>
        <v/>
      </c>
      <c r="J50" s="36" t="str">
        <f aca="false">IF($I50="","",$I50*100)</f>
        <v/>
      </c>
      <c r="K50" s="35" t="str">
        <f aca="false">IF($H50="","",$G50-$H50)</f>
        <v/>
      </c>
      <c r="L50" s="37" t="str">
        <f aca="false">IF(OR($F50="",$G50=""),"",EDATE($F50,ROUND($G50*12,0)))</f>
        <v/>
      </c>
      <c r="M50" s="17" t="str">
        <f aca="false">IF($I50="","",IF($I50&lt;=$H$3,"VERDE",IF($I50&lt;=$J$3,"AMARILLO",IF($I50&lt;1,"NARANJA","ROJO"))))</f>
        <v/>
      </c>
      <c r="N50" s="33"/>
      <c r="O50" s="33"/>
      <c r="P50" s="33"/>
      <c r="Q50" s="38"/>
      <c r="R50" s="17" t="str">
        <f aca="false">IF($I50="","",IF(OR($I50&gt;=1,$P50="SI",AND($I50&gt;=0.81,OR($N50="MALO",$N50="INSERVIBLE"))),"SI","NO"))</f>
        <v/>
      </c>
      <c r="S50" s="38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4"/>
      <c r="G51" s="33"/>
      <c r="H51" s="35" t="str">
        <f aca="false">IF(OR($F51="",$G51=""),"",($B$3-$F51)/365.25)</f>
        <v/>
      </c>
      <c r="I51" s="35" t="str">
        <f aca="false">IF(OR($H51="",$G51=""),"",$H51/$G51)</f>
        <v/>
      </c>
      <c r="J51" s="36" t="str">
        <f aca="false">IF($I51="","",$I51*100)</f>
        <v/>
      </c>
      <c r="K51" s="35" t="str">
        <f aca="false">IF($H51="","",$G51-$H51)</f>
        <v/>
      </c>
      <c r="L51" s="37" t="str">
        <f aca="false">IF(OR($F51="",$G51=""),"",EDATE($F51,ROUND($G51*12,0)))</f>
        <v/>
      </c>
      <c r="M51" s="17" t="str">
        <f aca="false">IF($I51="","",IF($I51&lt;=$H$3,"VERDE",IF($I51&lt;=$J$3,"AMARILLO",IF($I51&lt;1,"NARANJA","ROJO"))))</f>
        <v/>
      </c>
      <c r="N51" s="33"/>
      <c r="O51" s="33"/>
      <c r="P51" s="33"/>
      <c r="Q51" s="38"/>
      <c r="R51" s="17" t="str">
        <f aca="false">IF($I51="","",IF(OR($I51&gt;=1,$P51="SI",AND($I51&gt;=0.81,OR($N51="MALO",$N51="INSERVIBLE"))),"SI","NO"))</f>
        <v/>
      </c>
      <c r="S51" s="38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4"/>
      <c r="G52" s="33"/>
      <c r="H52" s="35" t="str">
        <f aca="false">IF(OR($F52="",$G52=""),"",($B$3-$F52)/365.25)</f>
        <v/>
      </c>
      <c r="I52" s="35" t="str">
        <f aca="false">IF(OR($H52="",$G52=""),"",$H52/$G52)</f>
        <v/>
      </c>
      <c r="J52" s="36" t="str">
        <f aca="false">IF($I52="","",$I52*100)</f>
        <v/>
      </c>
      <c r="K52" s="35" t="str">
        <f aca="false">IF($H52="","",$G52-$H52)</f>
        <v/>
      </c>
      <c r="L52" s="37" t="str">
        <f aca="false">IF(OR($F52="",$G52=""),"",EDATE($F52,ROUND($G52*12,0)))</f>
        <v/>
      </c>
      <c r="M52" s="17" t="str">
        <f aca="false">IF($I52="","",IF($I52&lt;=$H$3,"VERDE",IF($I52&lt;=$J$3,"AMARILLO",IF($I52&lt;1,"NARANJA","ROJO"))))</f>
        <v/>
      </c>
      <c r="N52" s="33"/>
      <c r="O52" s="33"/>
      <c r="P52" s="33"/>
      <c r="Q52" s="38"/>
      <c r="R52" s="17" t="str">
        <f aca="false">IF($I52="","",IF(OR($I52&gt;=1,$P52="SI",AND($I52&gt;=0.81,OR($N52="MALO",$N52="INSERVIBLE"))),"SI","NO"))</f>
        <v/>
      </c>
      <c r="S52" s="38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4"/>
      <c r="G53" s="33"/>
      <c r="H53" s="35" t="str">
        <f aca="false">IF(OR($F53="",$G53=""),"",($B$3-$F53)/365.25)</f>
        <v/>
      </c>
      <c r="I53" s="35" t="str">
        <f aca="false">IF(OR($H53="",$G53=""),"",$H53/$G53)</f>
        <v/>
      </c>
      <c r="J53" s="36" t="str">
        <f aca="false">IF($I53="","",$I53*100)</f>
        <v/>
      </c>
      <c r="K53" s="35" t="str">
        <f aca="false">IF($H53="","",$G53-$H53)</f>
        <v/>
      </c>
      <c r="L53" s="37" t="str">
        <f aca="false">IF(OR($F53="",$G53=""),"",EDATE($F53,ROUND($G53*12,0)))</f>
        <v/>
      </c>
      <c r="M53" s="17" t="str">
        <f aca="false">IF($I53="","",IF($I53&lt;=$H$3,"VERDE",IF($I53&lt;=$J$3,"AMARILLO",IF($I53&lt;1,"NARANJA","ROJO"))))</f>
        <v/>
      </c>
      <c r="N53" s="33"/>
      <c r="O53" s="33"/>
      <c r="P53" s="33"/>
      <c r="Q53" s="38"/>
      <c r="R53" s="17" t="str">
        <f aca="false">IF($I53="","",IF(OR($I53&gt;=1,$P53="SI",AND($I53&gt;=0.81,OR($N53="MALO",$N53="INSERVIBLE"))),"SI","NO"))</f>
        <v/>
      </c>
      <c r="S53" s="38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4"/>
      <c r="G54" s="33"/>
      <c r="H54" s="35" t="str">
        <f aca="false">IF(OR($F54="",$G54=""),"",($B$3-$F54)/365.25)</f>
        <v/>
      </c>
      <c r="I54" s="35" t="str">
        <f aca="false">IF(OR($H54="",$G54=""),"",$H54/$G54)</f>
        <v/>
      </c>
      <c r="J54" s="36" t="str">
        <f aca="false">IF($I54="","",$I54*100)</f>
        <v/>
      </c>
      <c r="K54" s="35" t="str">
        <f aca="false">IF($H54="","",$G54-$H54)</f>
        <v/>
      </c>
      <c r="L54" s="37" t="str">
        <f aca="false">IF(OR($F54="",$G54=""),"",EDATE($F54,ROUND($G54*12,0)))</f>
        <v/>
      </c>
      <c r="M54" s="17" t="str">
        <f aca="false">IF($I54="","",IF($I54&lt;=$H$3,"VERDE",IF($I54&lt;=$J$3,"AMARILLO",IF($I54&lt;1,"NARANJA","ROJO"))))</f>
        <v/>
      </c>
      <c r="N54" s="33"/>
      <c r="O54" s="33"/>
      <c r="P54" s="33"/>
      <c r="Q54" s="38"/>
      <c r="R54" s="17" t="str">
        <f aca="false">IF($I54="","",IF(OR($I54&gt;=1,$P54="SI",AND($I54&gt;=0.81,OR($N54="MALO",$N54="INSERVIBLE"))),"SI","NO"))</f>
        <v/>
      </c>
      <c r="S54" s="38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4"/>
      <c r="G55" s="33"/>
      <c r="H55" s="35" t="str">
        <f aca="false">IF(OR($F55="",$G55=""),"",($B$3-$F55)/365.25)</f>
        <v/>
      </c>
      <c r="I55" s="35" t="str">
        <f aca="false">IF(OR($H55="",$G55=""),"",$H55/$G55)</f>
        <v/>
      </c>
      <c r="J55" s="36" t="str">
        <f aca="false">IF($I55="","",$I55*100)</f>
        <v/>
      </c>
      <c r="K55" s="35" t="str">
        <f aca="false">IF($H55="","",$G55-$H55)</f>
        <v/>
      </c>
      <c r="L55" s="37" t="str">
        <f aca="false">IF(OR($F55="",$G55=""),"",EDATE($F55,ROUND($G55*12,0)))</f>
        <v/>
      </c>
      <c r="M55" s="17" t="str">
        <f aca="false">IF($I55="","",IF($I55&lt;=$H$3,"VERDE",IF($I55&lt;=$J$3,"AMARILLO",IF($I55&lt;1,"NARANJA","ROJO"))))</f>
        <v/>
      </c>
      <c r="N55" s="33"/>
      <c r="O55" s="33"/>
      <c r="P55" s="33"/>
      <c r="Q55" s="38"/>
      <c r="R55" s="17" t="str">
        <f aca="false">IF($I55="","",IF(OR($I55&gt;=1,$P55="SI",AND($I55&gt;=0.81,OR($N55="MALO",$N55="INSERVIBLE"))),"SI","NO"))</f>
        <v/>
      </c>
      <c r="S55" s="38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4"/>
      <c r="G56" s="33"/>
      <c r="H56" s="35" t="str">
        <f aca="false">IF(OR($F56="",$G56=""),"",($B$3-$F56)/365.25)</f>
        <v/>
      </c>
      <c r="I56" s="35" t="str">
        <f aca="false">IF(OR($H56="",$G56=""),"",$H56/$G56)</f>
        <v/>
      </c>
      <c r="J56" s="36" t="str">
        <f aca="false">IF($I56="","",$I56*100)</f>
        <v/>
      </c>
      <c r="K56" s="35" t="str">
        <f aca="false">IF($H56="","",$G56-$H56)</f>
        <v/>
      </c>
      <c r="L56" s="37" t="str">
        <f aca="false">IF(OR($F56="",$G56=""),"",EDATE($F56,ROUND($G56*12,0)))</f>
        <v/>
      </c>
      <c r="M56" s="17" t="str">
        <f aca="false">IF($I56="","",IF($I56&lt;=$H$3,"VERDE",IF($I56&lt;=$J$3,"AMARILLO",IF($I56&lt;1,"NARANJA","ROJO"))))</f>
        <v/>
      </c>
      <c r="N56" s="33"/>
      <c r="O56" s="33"/>
      <c r="P56" s="33"/>
      <c r="Q56" s="38"/>
      <c r="R56" s="17" t="str">
        <f aca="false">IF($I56="","",IF(OR($I56&gt;=1,$P56="SI",AND($I56&gt;=0.81,OR($N56="MALO",$N56="INSERVIBLE"))),"SI","NO"))</f>
        <v/>
      </c>
      <c r="S56" s="38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4"/>
      <c r="G57" s="33"/>
      <c r="H57" s="35" t="str">
        <f aca="false">IF(OR($F57="",$G57=""),"",($B$3-$F57)/365.25)</f>
        <v/>
      </c>
      <c r="I57" s="35" t="str">
        <f aca="false">IF(OR($H57="",$G57=""),"",$H57/$G57)</f>
        <v/>
      </c>
      <c r="J57" s="36" t="str">
        <f aca="false">IF($I57="","",$I57*100)</f>
        <v/>
      </c>
      <c r="K57" s="35" t="str">
        <f aca="false">IF($H57="","",$G57-$H57)</f>
        <v/>
      </c>
      <c r="L57" s="37" t="str">
        <f aca="false">IF(OR($F57="",$G57=""),"",EDATE($F57,ROUND($G57*12,0)))</f>
        <v/>
      </c>
      <c r="M57" s="17" t="str">
        <f aca="false">IF($I57="","",IF($I57&lt;=$H$3,"VERDE",IF($I57&lt;=$J$3,"AMARILLO",IF($I57&lt;1,"NARANJA","ROJO"))))</f>
        <v/>
      </c>
      <c r="N57" s="33"/>
      <c r="O57" s="33"/>
      <c r="P57" s="33"/>
      <c r="Q57" s="38"/>
      <c r="R57" s="17" t="str">
        <f aca="false">IF($I57="","",IF(OR($I57&gt;=1,$P57="SI",AND($I57&gt;=0.81,OR($N57="MALO",$N57="INSERVIBLE"))),"SI","NO"))</f>
        <v/>
      </c>
      <c r="S57" s="38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4"/>
      <c r="G58" s="33"/>
      <c r="H58" s="35" t="str">
        <f aca="false">IF(OR($F58="",$G58=""),"",($B$3-$F58)/365.25)</f>
        <v/>
      </c>
      <c r="I58" s="35" t="str">
        <f aca="false">IF(OR($H58="",$G58=""),"",$H58/$G58)</f>
        <v/>
      </c>
      <c r="J58" s="36" t="str">
        <f aca="false">IF($I58="","",$I58*100)</f>
        <v/>
      </c>
      <c r="K58" s="35" t="str">
        <f aca="false">IF($H58="","",$G58-$H58)</f>
        <v/>
      </c>
      <c r="L58" s="37" t="str">
        <f aca="false">IF(OR($F58="",$G58=""),"",EDATE($F58,ROUND($G58*12,0)))</f>
        <v/>
      </c>
      <c r="M58" s="17" t="str">
        <f aca="false">IF($I58="","",IF($I58&lt;=$H$3,"VERDE",IF($I58&lt;=$J$3,"AMARILLO",IF($I58&lt;1,"NARANJA","ROJO"))))</f>
        <v/>
      </c>
      <c r="N58" s="33"/>
      <c r="O58" s="33"/>
      <c r="P58" s="33"/>
      <c r="Q58" s="38"/>
      <c r="R58" s="17" t="str">
        <f aca="false">IF($I58="","",IF(OR($I58&gt;=1,$P58="SI",AND($I58&gt;=0.81,OR($N58="MALO",$N58="INSERVIBLE"))),"SI","NO"))</f>
        <v/>
      </c>
      <c r="S58" s="38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4"/>
      <c r="G59" s="33"/>
      <c r="H59" s="35" t="str">
        <f aca="false">IF(OR($F59="",$G59=""),"",($B$3-$F59)/365.25)</f>
        <v/>
      </c>
      <c r="I59" s="35" t="str">
        <f aca="false">IF(OR($H59="",$G59=""),"",$H59/$G59)</f>
        <v/>
      </c>
      <c r="J59" s="36" t="str">
        <f aca="false">IF($I59="","",$I59*100)</f>
        <v/>
      </c>
      <c r="K59" s="35" t="str">
        <f aca="false">IF($H59="","",$G59-$H59)</f>
        <v/>
      </c>
      <c r="L59" s="37" t="str">
        <f aca="false">IF(OR($F59="",$G59=""),"",EDATE($F59,ROUND($G59*12,0)))</f>
        <v/>
      </c>
      <c r="M59" s="17" t="str">
        <f aca="false">IF($I59="","",IF($I59&lt;=$H$3,"VERDE",IF($I59&lt;=$J$3,"AMARILLO",IF($I59&lt;1,"NARANJA","ROJO"))))</f>
        <v/>
      </c>
      <c r="N59" s="33"/>
      <c r="O59" s="33"/>
      <c r="P59" s="33"/>
      <c r="Q59" s="38"/>
      <c r="R59" s="17" t="str">
        <f aca="false">IF($I59="","",IF(OR($I59&gt;=1,$P59="SI",AND($I59&gt;=0.81,OR($N59="MALO",$N59="INSERVIBLE"))),"SI","NO"))</f>
        <v/>
      </c>
      <c r="S59" s="38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4"/>
      <c r="G60" s="33"/>
      <c r="H60" s="35" t="str">
        <f aca="false">IF(OR($F60="",$G60=""),"",($B$3-$F60)/365.25)</f>
        <v/>
      </c>
      <c r="I60" s="35" t="str">
        <f aca="false">IF(OR($H60="",$G60=""),"",$H60/$G60)</f>
        <v/>
      </c>
      <c r="J60" s="36" t="str">
        <f aca="false">IF($I60="","",$I60*100)</f>
        <v/>
      </c>
      <c r="K60" s="35" t="str">
        <f aca="false">IF($H60="","",$G60-$H60)</f>
        <v/>
      </c>
      <c r="L60" s="37" t="str">
        <f aca="false">IF(OR($F60="",$G60=""),"",EDATE($F60,ROUND($G60*12,0)))</f>
        <v/>
      </c>
      <c r="M60" s="17" t="str">
        <f aca="false">IF($I60="","",IF($I60&lt;=$H$3,"VERDE",IF($I60&lt;=$J$3,"AMARILLO",IF($I60&lt;1,"NARANJA","ROJO"))))</f>
        <v/>
      </c>
      <c r="N60" s="33"/>
      <c r="O60" s="33"/>
      <c r="P60" s="33"/>
      <c r="Q60" s="38"/>
      <c r="R60" s="17" t="str">
        <f aca="false">IF($I60="","",IF(OR($I60&gt;=1,$P60="SI",AND($I60&gt;=0.81,OR($N60="MALO",$N60="INSERVIBLE"))),"SI","NO"))</f>
        <v/>
      </c>
      <c r="S60" s="38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4"/>
      <c r="G61" s="33"/>
      <c r="H61" s="35" t="str">
        <f aca="false">IF(OR($F61="",$G61=""),"",($B$3-$F61)/365.25)</f>
        <v/>
      </c>
      <c r="I61" s="35" t="str">
        <f aca="false">IF(OR($H61="",$G61=""),"",$H61/$G61)</f>
        <v/>
      </c>
      <c r="J61" s="36" t="str">
        <f aca="false">IF($I61="","",$I61*100)</f>
        <v/>
      </c>
      <c r="K61" s="35" t="str">
        <f aca="false">IF($H61="","",$G61-$H61)</f>
        <v/>
      </c>
      <c r="L61" s="37" t="str">
        <f aca="false">IF(OR($F61="",$G61=""),"",EDATE($F61,ROUND($G61*12,0)))</f>
        <v/>
      </c>
      <c r="M61" s="17" t="str">
        <f aca="false">IF($I61="","",IF($I61&lt;=$H$3,"VERDE",IF($I61&lt;=$J$3,"AMARILLO",IF($I61&lt;1,"NARANJA","ROJO"))))</f>
        <v/>
      </c>
      <c r="N61" s="33"/>
      <c r="O61" s="33"/>
      <c r="P61" s="33"/>
      <c r="Q61" s="38"/>
      <c r="R61" s="17" t="str">
        <f aca="false">IF($I61="","",IF(OR($I61&gt;=1,$P61="SI",AND($I61&gt;=0.81,OR($N61="MALO",$N61="INSERVIBLE"))),"SI","NO"))</f>
        <v/>
      </c>
      <c r="S61" s="38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4"/>
      <c r="G62" s="33"/>
      <c r="H62" s="35" t="str">
        <f aca="false">IF(OR($F62="",$G62=""),"",($B$3-$F62)/365.25)</f>
        <v/>
      </c>
      <c r="I62" s="35" t="str">
        <f aca="false">IF(OR($H62="",$G62=""),"",$H62/$G62)</f>
        <v/>
      </c>
      <c r="J62" s="36" t="str">
        <f aca="false">IF($I62="","",$I62*100)</f>
        <v/>
      </c>
      <c r="K62" s="35" t="str">
        <f aca="false">IF($H62="","",$G62-$H62)</f>
        <v/>
      </c>
      <c r="L62" s="37" t="str">
        <f aca="false">IF(OR($F62="",$G62=""),"",EDATE($F62,ROUND($G62*12,0)))</f>
        <v/>
      </c>
      <c r="M62" s="17" t="str">
        <f aca="false">IF($I62="","",IF($I62&lt;=$H$3,"VERDE",IF($I62&lt;=$J$3,"AMARILLO",IF($I62&lt;1,"NARANJA","ROJO"))))</f>
        <v/>
      </c>
      <c r="N62" s="33"/>
      <c r="O62" s="33"/>
      <c r="P62" s="33"/>
      <c r="Q62" s="38"/>
      <c r="R62" s="17" t="str">
        <f aca="false">IF($I62="","",IF(OR($I62&gt;=1,$P62="SI",AND($I62&gt;=0.81,OR($N62="MALO",$N62="INSERVIBLE"))),"SI","NO"))</f>
        <v/>
      </c>
      <c r="S62" s="38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4"/>
      <c r="G63" s="33"/>
      <c r="H63" s="35" t="str">
        <f aca="false">IF(OR($F63="",$G63=""),"",($B$3-$F63)/365.25)</f>
        <v/>
      </c>
      <c r="I63" s="35" t="str">
        <f aca="false">IF(OR($H63="",$G63=""),"",$H63/$G63)</f>
        <v/>
      </c>
      <c r="J63" s="36" t="str">
        <f aca="false">IF($I63="","",$I63*100)</f>
        <v/>
      </c>
      <c r="K63" s="35" t="str">
        <f aca="false">IF($H63="","",$G63-$H63)</f>
        <v/>
      </c>
      <c r="L63" s="37" t="str">
        <f aca="false">IF(OR($F63="",$G63=""),"",EDATE($F63,ROUND($G63*12,0)))</f>
        <v/>
      </c>
      <c r="M63" s="17" t="str">
        <f aca="false">IF($I63="","",IF($I63&lt;=$H$3,"VERDE",IF($I63&lt;=$J$3,"AMARILLO",IF($I63&lt;1,"NARANJA","ROJO"))))</f>
        <v/>
      </c>
      <c r="N63" s="33"/>
      <c r="O63" s="33"/>
      <c r="P63" s="33"/>
      <c r="Q63" s="38"/>
      <c r="R63" s="17" t="str">
        <f aca="false">IF($I63="","",IF(OR($I63&gt;=1,$P63="SI",AND($I63&gt;=0.81,OR($N63="MALO",$N63="INSERVIBLE"))),"SI","NO"))</f>
        <v/>
      </c>
      <c r="S63" s="38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4"/>
      <c r="G64" s="33"/>
      <c r="H64" s="35" t="str">
        <f aca="false">IF(OR($F64="",$G64=""),"",($B$3-$F64)/365.25)</f>
        <v/>
      </c>
      <c r="I64" s="35" t="str">
        <f aca="false">IF(OR($H64="",$G64=""),"",$H64/$G64)</f>
        <v/>
      </c>
      <c r="J64" s="36" t="str">
        <f aca="false">IF($I64="","",$I64*100)</f>
        <v/>
      </c>
      <c r="K64" s="35" t="str">
        <f aca="false">IF($H64="","",$G64-$H64)</f>
        <v/>
      </c>
      <c r="L64" s="37" t="str">
        <f aca="false">IF(OR($F64="",$G64=""),"",EDATE($F64,ROUND($G64*12,0)))</f>
        <v/>
      </c>
      <c r="M64" s="17" t="str">
        <f aca="false">IF($I64="","",IF($I64&lt;=$H$3,"VERDE",IF($I64&lt;=$J$3,"AMARILLO",IF($I64&lt;1,"NARANJA","ROJO"))))</f>
        <v/>
      </c>
      <c r="N64" s="33"/>
      <c r="O64" s="33"/>
      <c r="P64" s="33"/>
      <c r="Q64" s="38"/>
      <c r="R64" s="17" t="str">
        <f aca="false">IF($I64="","",IF(OR($I64&gt;=1,$P64="SI",AND($I64&gt;=0.81,OR($N64="MALO",$N64="INSERVIBLE"))),"SI","NO"))</f>
        <v/>
      </c>
      <c r="S64" s="38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4"/>
      <c r="G65" s="33"/>
      <c r="H65" s="35" t="str">
        <f aca="false">IF(OR($F65="",$G65=""),"",($B$3-$F65)/365.25)</f>
        <v/>
      </c>
      <c r="I65" s="35" t="str">
        <f aca="false">IF(OR($H65="",$G65=""),"",$H65/$G65)</f>
        <v/>
      </c>
      <c r="J65" s="36" t="str">
        <f aca="false">IF($I65="","",$I65*100)</f>
        <v/>
      </c>
      <c r="K65" s="35" t="str">
        <f aca="false">IF($H65="","",$G65-$H65)</f>
        <v/>
      </c>
      <c r="L65" s="37" t="str">
        <f aca="false">IF(OR($F65="",$G65=""),"",EDATE($F65,ROUND($G65*12,0)))</f>
        <v/>
      </c>
      <c r="M65" s="17" t="str">
        <f aca="false">IF($I65="","",IF($I65&lt;=$H$3,"VERDE",IF($I65&lt;=$J$3,"AMARILLO",IF($I65&lt;1,"NARANJA","ROJO"))))</f>
        <v/>
      </c>
      <c r="N65" s="33"/>
      <c r="O65" s="33"/>
      <c r="P65" s="33"/>
      <c r="Q65" s="38"/>
      <c r="R65" s="17" t="str">
        <f aca="false">IF($I65="","",IF(OR($I65&gt;=1,$P65="SI",AND($I65&gt;=0.81,OR($N65="MALO",$N65="INSERVIBLE"))),"SI","NO"))</f>
        <v/>
      </c>
      <c r="S65" s="38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4"/>
      <c r="G66" s="33"/>
      <c r="H66" s="35" t="str">
        <f aca="false">IF(OR($F66="",$G66=""),"",($B$3-$F66)/365.25)</f>
        <v/>
      </c>
      <c r="I66" s="35" t="str">
        <f aca="false">IF(OR($H66="",$G66=""),"",$H66/$G66)</f>
        <v/>
      </c>
      <c r="J66" s="36" t="str">
        <f aca="false">IF($I66="","",$I66*100)</f>
        <v/>
      </c>
      <c r="K66" s="35" t="str">
        <f aca="false">IF($H66="","",$G66-$H66)</f>
        <v/>
      </c>
      <c r="L66" s="37" t="str">
        <f aca="false">IF(OR($F66="",$G66=""),"",EDATE($F66,ROUND($G66*12,0)))</f>
        <v/>
      </c>
      <c r="M66" s="17" t="str">
        <f aca="false">IF($I66="","",IF($I66&lt;=$H$3,"VERDE",IF($I66&lt;=$J$3,"AMARILLO",IF($I66&lt;1,"NARANJA","ROJO"))))</f>
        <v/>
      </c>
      <c r="N66" s="33"/>
      <c r="O66" s="33"/>
      <c r="P66" s="33"/>
      <c r="Q66" s="38"/>
      <c r="R66" s="17" t="str">
        <f aca="false">IF($I66="","",IF(OR($I66&gt;=1,$P66="SI",AND($I66&gt;=0.81,OR($N66="MALO",$N66="INSERVIBLE"))),"SI","NO"))</f>
        <v/>
      </c>
      <c r="S66" s="38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4"/>
      <c r="G67" s="33"/>
      <c r="H67" s="35" t="str">
        <f aca="false">IF(OR($F67="",$G67=""),"",($B$3-$F67)/365.25)</f>
        <v/>
      </c>
      <c r="I67" s="35" t="str">
        <f aca="false">IF(OR($H67="",$G67=""),"",$H67/$G67)</f>
        <v/>
      </c>
      <c r="J67" s="36" t="str">
        <f aca="false">IF($I67="","",$I67*100)</f>
        <v/>
      </c>
      <c r="K67" s="35" t="str">
        <f aca="false">IF($H67="","",$G67-$H67)</f>
        <v/>
      </c>
      <c r="L67" s="37" t="str">
        <f aca="false">IF(OR($F67="",$G67=""),"",EDATE($F67,ROUND($G67*12,0)))</f>
        <v/>
      </c>
      <c r="M67" s="17" t="str">
        <f aca="false">IF($I67="","",IF($I67&lt;=$H$3,"VERDE",IF($I67&lt;=$J$3,"AMARILLO",IF($I67&lt;1,"NARANJA","ROJO"))))</f>
        <v/>
      </c>
      <c r="N67" s="33"/>
      <c r="O67" s="33"/>
      <c r="P67" s="33"/>
      <c r="Q67" s="38"/>
      <c r="R67" s="17" t="str">
        <f aca="false">IF($I67="","",IF(OR($I67&gt;=1,$P67="SI",AND($I67&gt;=0.81,OR($N67="MALO",$N67="INSERVIBLE"))),"SI","NO"))</f>
        <v/>
      </c>
      <c r="S67" s="38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4"/>
      <c r="G68" s="33"/>
      <c r="H68" s="35" t="str">
        <f aca="false">IF(OR($F68="",$G68=""),"",($B$3-$F68)/365.25)</f>
        <v/>
      </c>
      <c r="I68" s="35" t="str">
        <f aca="false">IF(OR($H68="",$G68=""),"",$H68/$G68)</f>
        <v/>
      </c>
      <c r="J68" s="36" t="str">
        <f aca="false">IF($I68="","",$I68*100)</f>
        <v/>
      </c>
      <c r="K68" s="35" t="str">
        <f aca="false">IF($H68="","",$G68-$H68)</f>
        <v/>
      </c>
      <c r="L68" s="37" t="str">
        <f aca="false">IF(OR($F68="",$G68=""),"",EDATE($F68,ROUND($G68*12,0)))</f>
        <v/>
      </c>
      <c r="M68" s="17" t="str">
        <f aca="false">IF($I68="","",IF($I68&lt;=$H$3,"VERDE",IF($I68&lt;=$J$3,"AMARILLO",IF($I68&lt;1,"NARANJA","ROJO"))))</f>
        <v/>
      </c>
      <c r="N68" s="33"/>
      <c r="O68" s="33"/>
      <c r="P68" s="33"/>
      <c r="Q68" s="38"/>
      <c r="R68" s="17" t="str">
        <f aca="false">IF($I68="","",IF(OR($I68&gt;=1,$P68="SI",AND($I68&gt;=0.81,OR($N68="MALO",$N68="INSERVIBLE"))),"SI","NO"))</f>
        <v/>
      </c>
      <c r="S68" s="38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4"/>
      <c r="G69" s="33"/>
      <c r="H69" s="35" t="str">
        <f aca="false">IF(OR($F69="",$G69=""),"",($B$3-$F69)/365.25)</f>
        <v/>
      </c>
      <c r="I69" s="35" t="str">
        <f aca="false">IF(OR($H69="",$G69=""),"",$H69/$G69)</f>
        <v/>
      </c>
      <c r="J69" s="36" t="str">
        <f aca="false">IF($I69="","",$I69*100)</f>
        <v/>
      </c>
      <c r="K69" s="35" t="str">
        <f aca="false">IF($H69="","",$G69-$H69)</f>
        <v/>
      </c>
      <c r="L69" s="37" t="str">
        <f aca="false">IF(OR($F69="",$G69=""),"",EDATE($F69,ROUND($G69*12,0)))</f>
        <v/>
      </c>
      <c r="M69" s="17" t="str">
        <f aca="false">IF($I69="","",IF($I69&lt;=$H$3,"VERDE",IF($I69&lt;=$J$3,"AMARILLO",IF($I69&lt;1,"NARANJA","ROJO"))))</f>
        <v/>
      </c>
      <c r="N69" s="33"/>
      <c r="O69" s="33"/>
      <c r="P69" s="33"/>
      <c r="Q69" s="38"/>
      <c r="R69" s="17" t="str">
        <f aca="false">IF($I69="","",IF(OR($I69&gt;=1,$P69="SI",AND($I69&gt;=0.81,OR($N69="MALO",$N69="INSERVIBLE"))),"SI","NO"))</f>
        <v/>
      </c>
      <c r="S69" s="38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4"/>
      <c r="G70" s="33"/>
      <c r="H70" s="35" t="str">
        <f aca="false">IF(OR($F70="",$G70=""),"",($B$3-$F70)/365.25)</f>
        <v/>
      </c>
      <c r="I70" s="35" t="str">
        <f aca="false">IF(OR($H70="",$G70=""),"",$H70/$G70)</f>
        <v/>
      </c>
      <c r="J70" s="36" t="str">
        <f aca="false">IF($I70="","",$I70*100)</f>
        <v/>
      </c>
      <c r="K70" s="35" t="str">
        <f aca="false">IF($H70="","",$G70-$H70)</f>
        <v/>
      </c>
      <c r="L70" s="37" t="str">
        <f aca="false">IF(OR($F70="",$G70=""),"",EDATE($F70,ROUND($G70*12,0)))</f>
        <v/>
      </c>
      <c r="M70" s="17" t="str">
        <f aca="false">IF($I70="","",IF($I70&lt;=$H$3,"VERDE",IF($I70&lt;=$J$3,"AMARILLO",IF($I70&lt;1,"NARANJA","ROJO"))))</f>
        <v/>
      </c>
      <c r="N70" s="33"/>
      <c r="O70" s="33"/>
      <c r="P70" s="33"/>
      <c r="Q70" s="38"/>
      <c r="R70" s="17" t="str">
        <f aca="false">IF($I70="","",IF(OR($I70&gt;=1,$P70="SI",AND($I70&gt;=0.81,OR($N70="MALO",$N70="INSERVIBLE"))),"SI","NO"))</f>
        <v/>
      </c>
      <c r="S70" s="38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4"/>
      <c r="G71" s="33"/>
      <c r="H71" s="35" t="str">
        <f aca="false">IF(OR($F71="",$G71=""),"",($B$3-$F71)/365.25)</f>
        <v/>
      </c>
      <c r="I71" s="35" t="str">
        <f aca="false">IF(OR($H71="",$G71=""),"",$H71/$G71)</f>
        <v/>
      </c>
      <c r="J71" s="36" t="str">
        <f aca="false">IF($I71="","",$I71*100)</f>
        <v/>
      </c>
      <c r="K71" s="35" t="str">
        <f aca="false">IF($H71="","",$G71-$H71)</f>
        <v/>
      </c>
      <c r="L71" s="37" t="str">
        <f aca="false">IF(OR($F71="",$G71=""),"",EDATE($F71,ROUND($G71*12,0)))</f>
        <v/>
      </c>
      <c r="M71" s="17" t="str">
        <f aca="false">IF($I71="","",IF($I71&lt;=$H$3,"VERDE",IF($I71&lt;=$J$3,"AMARILLO",IF($I71&lt;1,"NARANJA","ROJO"))))</f>
        <v/>
      </c>
      <c r="N71" s="33"/>
      <c r="O71" s="33"/>
      <c r="P71" s="33"/>
      <c r="Q71" s="38"/>
      <c r="R71" s="17" t="str">
        <f aca="false">IF($I71="","",IF(OR($I71&gt;=1,$P71="SI",AND($I71&gt;=0.81,OR($N71="MALO",$N71="INSERVIBLE"))),"SI","NO"))</f>
        <v/>
      </c>
      <c r="S71" s="38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4"/>
      <c r="G72" s="33"/>
      <c r="H72" s="35" t="str">
        <f aca="false">IF(OR($F72="",$G72=""),"",($B$3-$F72)/365.25)</f>
        <v/>
      </c>
      <c r="I72" s="35" t="str">
        <f aca="false">IF(OR($H72="",$G72=""),"",$H72/$G72)</f>
        <v/>
      </c>
      <c r="J72" s="36" t="str">
        <f aca="false">IF($I72="","",$I72*100)</f>
        <v/>
      </c>
      <c r="K72" s="35" t="str">
        <f aca="false">IF($H72="","",$G72-$H72)</f>
        <v/>
      </c>
      <c r="L72" s="37" t="str">
        <f aca="false">IF(OR($F72="",$G72=""),"",EDATE($F72,ROUND($G72*12,0)))</f>
        <v/>
      </c>
      <c r="M72" s="17" t="str">
        <f aca="false">IF($I72="","",IF($I72&lt;=$H$3,"VERDE",IF($I72&lt;=$J$3,"AMARILLO",IF($I72&lt;1,"NARANJA","ROJO"))))</f>
        <v/>
      </c>
      <c r="N72" s="33"/>
      <c r="O72" s="33"/>
      <c r="P72" s="33"/>
      <c r="Q72" s="38"/>
      <c r="R72" s="17" t="str">
        <f aca="false">IF($I72="","",IF(OR($I72&gt;=1,$P72="SI",AND($I72&gt;=0.81,OR($N72="MALO",$N72="INSERVIBLE"))),"SI","NO"))</f>
        <v/>
      </c>
      <c r="S72" s="38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4"/>
      <c r="G73" s="33"/>
      <c r="H73" s="35" t="str">
        <f aca="false">IF(OR($F73="",$G73=""),"",($B$3-$F73)/365.25)</f>
        <v/>
      </c>
      <c r="I73" s="35" t="str">
        <f aca="false">IF(OR($H73="",$G73=""),"",$H73/$G73)</f>
        <v/>
      </c>
      <c r="J73" s="36" t="str">
        <f aca="false">IF($I73="","",$I73*100)</f>
        <v/>
      </c>
      <c r="K73" s="35" t="str">
        <f aca="false">IF($H73="","",$G73-$H73)</f>
        <v/>
      </c>
      <c r="L73" s="37" t="str">
        <f aca="false">IF(OR($F73="",$G73=""),"",EDATE($F73,ROUND($G73*12,0)))</f>
        <v/>
      </c>
      <c r="M73" s="17" t="str">
        <f aca="false">IF($I73="","",IF($I73&lt;=$H$3,"VERDE",IF($I73&lt;=$J$3,"AMARILLO",IF($I73&lt;1,"NARANJA","ROJO"))))</f>
        <v/>
      </c>
      <c r="N73" s="33"/>
      <c r="O73" s="33"/>
      <c r="P73" s="33"/>
      <c r="Q73" s="38"/>
      <c r="R73" s="17" t="str">
        <f aca="false">IF($I73="","",IF(OR($I73&gt;=1,$P73="SI",AND($I73&gt;=0.81,OR($N73="MALO",$N73="INSERVIBLE"))),"SI","NO"))</f>
        <v/>
      </c>
      <c r="S73" s="38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4"/>
      <c r="G74" s="33"/>
      <c r="H74" s="35" t="str">
        <f aca="false">IF(OR($F74="",$G74=""),"",($B$3-$F74)/365.25)</f>
        <v/>
      </c>
      <c r="I74" s="35" t="str">
        <f aca="false">IF(OR($H74="",$G74=""),"",$H74/$G74)</f>
        <v/>
      </c>
      <c r="J74" s="36" t="str">
        <f aca="false">IF($I74="","",$I74*100)</f>
        <v/>
      </c>
      <c r="K74" s="35" t="str">
        <f aca="false">IF($H74="","",$G74-$H74)</f>
        <v/>
      </c>
      <c r="L74" s="37" t="str">
        <f aca="false">IF(OR($F74="",$G74=""),"",EDATE($F74,ROUND($G74*12,0)))</f>
        <v/>
      </c>
      <c r="M74" s="17" t="str">
        <f aca="false">IF($I74="","",IF($I74&lt;=$H$3,"VERDE",IF($I74&lt;=$J$3,"AMARILLO",IF($I74&lt;1,"NARANJA","ROJO"))))</f>
        <v/>
      </c>
      <c r="N74" s="33"/>
      <c r="O74" s="33"/>
      <c r="P74" s="33"/>
      <c r="Q74" s="38"/>
      <c r="R74" s="17" t="str">
        <f aca="false">IF($I74="","",IF(OR($I74&gt;=1,$P74="SI",AND($I74&gt;=0.81,OR($N74="MALO",$N74="INSERVIBLE"))),"SI","NO"))</f>
        <v/>
      </c>
      <c r="S74" s="38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4"/>
      <c r="G75" s="33"/>
      <c r="H75" s="35" t="str">
        <f aca="false">IF(OR($F75="",$G75=""),"",($B$3-$F75)/365.25)</f>
        <v/>
      </c>
      <c r="I75" s="35" t="str">
        <f aca="false">IF(OR($H75="",$G75=""),"",$H75/$G75)</f>
        <v/>
      </c>
      <c r="J75" s="36" t="str">
        <f aca="false">IF($I75="","",$I75*100)</f>
        <v/>
      </c>
      <c r="K75" s="35" t="str">
        <f aca="false">IF($H75="","",$G75-$H75)</f>
        <v/>
      </c>
      <c r="L75" s="37" t="str">
        <f aca="false">IF(OR($F75="",$G75=""),"",EDATE($F75,ROUND($G75*12,0)))</f>
        <v/>
      </c>
      <c r="M75" s="17" t="str">
        <f aca="false">IF($I75="","",IF($I75&lt;=$H$3,"VERDE",IF($I75&lt;=$J$3,"AMARILLO",IF($I75&lt;1,"NARANJA","ROJO"))))</f>
        <v/>
      </c>
      <c r="N75" s="33"/>
      <c r="O75" s="33"/>
      <c r="P75" s="33"/>
      <c r="Q75" s="38"/>
      <c r="R75" s="17" t="str">
        <f aca="false">IF($I75="","",IF(OR($I75&gt;=1,$P75="SI",AND($I75&gt;=0.81,OR($N75="MALO",$N75="INSERVIBLE"))),"SI","NO"))</f>
        <v/>
      </c>
      <c r="S75" s="38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4"/>
      <c r="G76" s="33"/>
      <c r="H76" s="35" t="str">
        <f aca="false">IF(OR($F76="",$G76=""),"",($B$3-$F76)/365.25)</f>
        <v/>
      </c>
      <c r="I76" s="35" t="str">
        <f aca="false">IF(OR($H76="",$G76=""),"",$H76/$G76)</f>
        <v/>
      </c>
      <c r="J76" s="36" t="str">
        <f aca="false">IF($I76="","",$I76*100)</f>
        <v/>
      </c>
      <c r="K76" s="35" t="str">
        <f aca="false">IF($H76="","",$G76-$H76)</f>
        <v/>
      </c>
      <c r="L76" s="37" t="str">
        <f aca="false">IF(OR($F76="",$G76=""),"",EDATE($F76,ROUND($G76*12,0)))</f>
        <v/>
      </c>
      <c r="M76" s="17" t="str">
        <f aca="false">IF($I76="","",IF($I76&lt;=$H$3,"VERDE",IF($I76&lt;=$J$3,"AMARILLO",IF($I76&lt;1,"NARANJA","ROJO"))))</f>
        <v/>
      </c>
      <c r="N76" s="33"/>
      <c r="O76" s="33"/>
      <c r="P76" s="33"/>
      <c r="Q76" s="38"/>
      <c r="R76" s="17" t="str">
        <f aca="false">IF($I76="","",IF(OR($I76&gt;=1,$P76="SI",AND($I76&gt;=0.81,OR($N76="MALO",$N76="INSERVIBLE"))),"SI","NO"))</f>
        <v/>
      </c>
      <c r="S76" s="38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4"/>
      <c r="G77" s="33"/>
      <c r="H77" s="35" t="str">
        <f aca="false">IF(OR($F77="",$G77=""),"",($B$3-$F77)/365.25)</f>
        <v/>
      </c>
      <c r="I77" s="35" t="str">
        <f aca="false">IF(OR($H77="",$G77=""),"",$H77/$G77)</f>
        <v/>
      </c>
      <c r="J77" s="36" t="str">
        <f aca="false">IF($I77="","",$I77*100)</f>
        <v/>
      </c>
      <c r="K77" s="35" t="str">
        <f aca="false">IF($H77="","",$G77-$H77)</f>
        <v/>
      </c>
      <c r="L77" s="37" t="str">
        <f aca="false">IF(OR($F77="",$G77=""),"",EDATE($F77,ROUND($G77*12,0)))</f>
        <v/>
      </c>
      <c r="M77" s="17" t="str">
        <f aca="false">IF($I77="","",IF($I77&lt;=$H$3,"VERDE",IF($I77&lt;=$J$3,"AMARILLO",IF($I77&lt;1,"NARANJA","ROJO"))))</f>
        <v/>
      </c>
      <c r="N77" s="33"/>
      <c r="O77" s="33"/>
      <c r="P77" s="33"/>
      <c r="Q77" s="38"/>
      <c r="R77" s="17" t="str">
        <f aca="false">IF($I77="","",IF(OR($I77&gt;=1,$P77="SI",AND($I77&gt;=0.81,OR($N77="MALO",$N77="INSERVIBLE"))),"SI","NO"))</f>
        <v/>
      </c>
      <c r="S77" s="38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4"/>
      <c r="G78" s="33"/>
      <c r="H78" s="35" t="str">
        <f aca="false">IF(OR($F78="",$G78=""),"",($B$3-$F78)/365.25)</f>
        <v/>
      </c>
      <c r="I78" s="35" t="str">
        <f aca="false">IF(OR($H78="",$G78=""),"",$H78/$G78)</f>
        <v/>
      </c>
      <c r="J78" s="36" t="str">
        <f aca="false">IF($I78="","",$I78*100)</f>
        <v/>
      </c>
      <c r="K78" s="35" t="str">
        <f aca="false">IF($H78="","",$G78-$H78)</f>
        <v/>
      </c>
      <c r="L78" s="37" t="str">
        <f aca="false">IF(OR($F78="",$G78=""),"",EDATE($F78,ROUND($G78*12,0)))</f>
        <v/>
      </c>
      <c r="M78" s="17" t="str">
        <f aca="false">IF($I78="","",IF($I78&lt;=$H$3,"VERDE",IF($I78&lt;=$J$3,"AMARILLO",IF($I78&lt;1,"NARANJA","ROJO"))))</f>
        <v/>
      </c>
      <c r="N78" s="33"/>
      <c r="O78" s="33"/>
      <c r="P78" s="33"/>
      <c r="Q78" s="38"/>
      <c r="R78" s="17" t="str">
        <f aca="false">IF($I78="","",IF(OR($I78&gt;=1,$P78="SI",AND($I78&gt;=0.81,OR($N78="MALO",$N78="INSERVIBLE"))),"SI","NO"))</f>
        <v/>
      </c>
      <c r="S78" s="38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4"/>
      <c r="G79" s="33"/>
      <c r="H79" s="35" t="str">
        <f aca="false">IF(OR($F79="",$G79=""),"",($B$3-$F79)/365.25)</f>
        <v/>
      </c>
      <c r="I79" s="35" t="str">
        <f aca="false">IF(OR($H79="",$G79=""),"",$H79/$G79)</f>
        <v/>
      </c>
      <c r="J79" s="36" t="str">
        <f aca="false">IF($I79="","",$I79*100)</f>
        <v/>
      </c>
      <c r="K79" s="35" t="str">
        <f aca="false">IF($H79="","",$G79-$H79)</f>
        <v/>
      </c>
      <c r="L79" s="37" t="str">
        <f aca="false">IF(OR($F79="",$G79=""),"",EDATE($F79,ROUND($G79*12,0)))</f>
        <v/>
      </c>
      <c r="M79" s="17" t="str">
        <f aca="false">IF($I79="","",IF($I79&lt;=$H$3,"VERDE",IF($I79&lt;=$J$3,"AMARILLO",IF($I79&lt;1,"NARANJA","ROJO"))))</f>
        <v/>
      </c>
      <c r="N79" s="33"/>
      <c r="O79" s="33"/>
      <c r="P79" s="33"/>
      <c r="Q79" s="38"/>
      <c r="R79" s="17" t="str">
        <f aca="false">IF($I79="","",IF(OR($I79&gt;=1,$P79="SI",AND($I79&gt;=0.81,OR($N79="MALO",$N79="INSERVIBLE"))),"SI","NO"))</f>
        <v/>
      </c>
      <c r="S79" s="38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4"/>
      <c r="G80" s="33"/>
      <c r="H80" s="35" t="str">
        <f aca="false">IF(OR($F80="",$G80=""),"",($B$3-$F80)/365.25)</f>
        <v/>
      </c>
      <c r="I80" s="35" t="str">
        <f aca="false">IF(OR($H80="",$G80=""),"",$H80/$G80)</f>
        <v/>
      </c>
      <c r="J80" s="36" t="str">
        <f aca="false">IF($I80="","",$I80*100)</f>
        <v/>
      </c>
      <c r="K80" s="35" t="str">
        <f aca="false">IF($H80="","",$G80-$H80)</f>
        <v/>
      </c>
      <c r="L80" s="37" t="str">
        <f aca="false">IF(OR($F80="",$G80=""),"",EDATE($F80,ROUND($G80*12,0)))</f>
        <v/>
      </c>
      <c r="M80" s="17" t="str">
        <f aca="false">IF($I80="","",IF($I80&lt;=$H$3,"VERDE",IF($I80&lt;=$J$3,"AMARILLO",IF($I80&lt;1,"NARANJA","ROJO"))))</f>
        <v/>
      </c>
      <c r="N80" s="33"/>
      <c r="O80" s="33"/>
      <c r="P80" s="33"/>
      <c r="Q80" s="38"/>
      <c r="R80" s="17" t="str">
        <f aca="false">IF($I80="","",IF(OR($I80&gt;=1,$P80="SI",AND($I80&gt;=0.81,OR($N80="MALO",$N80="INSERVIBLE"))),"SI","NO"))</f>
        <v/>
      </c>
      <c r="S80" s="38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4"/>
      <c r="G81" s="33"/>
      <c r="H81" s="35" t="str">
        <f aca="false">IF(OR($F81="",$G81=""),"",($B$3-$F81)/365.25)</f>
        <v/>
      </c>
      <c r="I81" s="35" t="str">
        <f aca="false">IF(OR($H81="",$G81=""),"",$H81/$G81)</f>
        <v/>
      </c>
      <c r="J81" s="36" t="str">
        <f aca="false">IF($I81="","",$I81*100)</f>
        <v/>
      </c>
      <c r="K81" s="35" t="str">
        <f aca="false">IF($H81="","",$G81-$H81)</f>
        <v/>
      </c>
      <c r="L81" s="37" t="str">
        <f aca="false">IF(OR($F81="",$G81=""),"",EDATE($F81,ROUND($G81*12,0)))</f>
        <v/>
      </c>
      <c r="M81" s="17" t="str">
        <f aca="false">IF($I81="","",IF($I81&lt;=$H$3,"VERDE",IF($I81&lt;=$J$3,"AMARILLO",IF($I81&lt;1,"NARANJA","ROJO"))))</f>
        <v/>
      </c>
      <c r="N81" s="33"/>
      <c r="O81" s="33"/>
      <c r="P81" s="33"/>
      <c r="Q81" s="38"/>
      <c r="R81" s="17" t="str">
        <f aca="false">IF($I81="","",IF(OR($I81&gt;=1,$P81="SI",AND($I81&gt;=0.81,OR($N81="MALO",$N81="INSERVIBLE"))),"SI","NO"))</f>
        <v/>
      </c>
      <c r="S81" s="38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4"/>
      <c r="G82" s="33"/>
      <c r="H82" s="35" t="str">
        <f aca="false">IF(OR($F82="",$G82=""),"",($B$3-$F82)/365.25)</f>
        <v/>
      </c>
      <c r="I82" s="35" t="str">
        <f aca="false">IF(OR($H82="",$G82=""),"",$H82/$G82)</f>
        <v/>
      </c>
      <c r="J82" s="36" t="str">
        <f aca="false">IF($I82="","",$I82*100)</f>
        <v/>
      </c>
      <c r="K82" s="35" t="str">
        <f aca="false">IF($H82="","",$G82-$H82)</f>
        <v/>
      </c>
      <c r="L82" s="37" t="str">
        <f aca="false">IF(OR($F82="",$G82=""),"",EDATE($F82,ROUND($G82*12,0)))</f>
        <v/>
      </c>
      <c r="M82" s="17" t="str">
        <f aca="false">IF($I82="","",IF($I82&lt;=$H$3,"VERDE",IF($I82&lt;=$J$3,"AMARILLO",IF($I82&lt;1,"NARANJA","ROJO"))))</f>
        <v/>
      </c>
      <c r="N82" s="33"/>
      <c r="O82" s="33"/>
      <c r="P82" s="33"/>
      <c r="Q82" s="38"/>
      <c r="R82" s="17" t="str">
        <f aca="false">IF($I82="","",IF(OR($I82&gt;=1,$P82="SI",AND($I82&gt;=0.81,OR($N82="MALO",$N82="INSERVIBLE"))),"SI","NO"))</f>
        <v/>
      </c>
      <c r="S82" s="38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4"/>
      <c r="G83" s="33"/>
      <c r="H83" s="35" t="str">
        <f aca="false">IF(OR($F83="",$G83=""),"",($B$3-$F83)/365.25)</f>
        <v/>
      </c>
      <c r="I83" s="35" t="str">
        <f aca="false">IF(OR($H83="",$G83=""),"",$H83/$G83)</f>
        <v/>
      </c>
      <c r="J83" s="36" t="str">
        <f aca="false">IF($I83="","",$I83*100)</f>
        <v/>
      </c>
      <c r="K83" s="35" t="str">
        <f aca="false">IF($H83="","",$G83-$H83)</f>
        <v/>
      </c>
      <c r="L83" s="37" t="str">
        <f aca="false">IF(OR($F83="",$G83=""),"",EDATE($F83,ROUND($G83*12,0)))</f>
        <v/>
      </c>
      <c r="M83" s="17" t="str">
        <f aca="false">IF($I83="","",IF($I83&lt;=$H$3,"VERDE",IF($I83&lt;=$J$3,"AMARILLO",IF($I83&lt;1,"NARANJA","ROJO"))))</f>
        <v/>
      </c>
      <c r="N83" s="33"/>
      <c r="O83" s="33"/>
      <c r="P83" s="33"/>
      <c r="Q83" s="38"/>
      <c r="R83" s="17" t="str">
        <f aca="false">IF($I83="","",IF(OR($I83&gt;=1,$P83="SI",AND($I83&gt;=0.81,OR($N83="MALO",$N83="INSERVIBLE"))),"SI","NO"))</f>
        <v/>
      </c>
      <c r="S83" s="38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4"/>
      <c r="G84" s="33"/>
      <c r="H84" s="35" t="str">
        <f aca="false">IF(OR($F84="",$G84=""),"",($B$3-$F84)/365.25)</f>
        <v/>
      </c>
      <c r="I84" s="35" t="str">
        <f aca="false">IF(OR($H84="",$G84=""),"",$H84/$G84)</f>
        <v/>
      </c>
      <c r="J84" s="36" t="str">
        <f aca="false">IF($I84="","",$I84*100)</f>
        <v/>
      </c>
      <c r="K84" s="35" t="str">
        <f aca="false">IF($H84="","",$G84-$H84)</f>
        <v/>
      </c>
      <c r="L84" s="37" t="str">
        <f aca="false">IF(OR($F84="",$G84=""),"",EDATE($F84,ROUND($G84*12,0)))</f>
        <v/>
      </c>
      <c r="M84" s="17" t="str">
        <f aca="false">IF($I84="","",IF($I84&lt;=$H$3,"VERDE",IF($I84&lt;=$J$3,"AMARILLO",IF($I84&lt;1,"NARANJA","ROJO"))))</f>
        <v/>
      </c>
      <c r="N84" s="33"/>
      <c r="O84" s="33"/>
      <c r="P84" s="33"/>
      <c r="Q84" s="38"/>
      <c r="R84" s="17" t="str">
        <f aca="false">IF($I84="","",IF(OR($I84&gt;=1,$P84="SI",AND($I84&gt;=0.81,OR($N84="MALO",$N84="INSERVIBLE"))),"SI","NO"))</f>
        <v/>
      </c>
      <c r="S84" s="38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4"/>
      <c r="G85" s="33"/>
      <c r="H85" s="35" t="str">
        <f aca="false">IF(OR($F85="",$G85=""),"",($B$3-$F85)/365.25)</f>
        <v/>
      </c>
      <c r="I85" s="35" t="str">
        <f aca="false">IF(OR($H85="",$G85=""),"",$H85/$G85)</f>
        <v/>
      </c>
      <c r="J85" s="36" t="str">
        <f aca="false">IF($I85="","",$I85*100)</f>
        <v/>
      </c>
      <c r="K85" s="35" t="str">
        <f aca="false">IF($H85="","",$G85-$H85)</f>
        <v/>
      </c>
      <c r="L85" s="37" t="str">
        <f aca="false">IF(OR($F85="",$G85=""),"",EDATE($F85,ROUND($G85*12,0)))</f>
        <v/>
      </c>
      <c r="M85" s="17" t="str">
        <f aca="false">IF($I85="","",IF($I85&lt;=$H$3,"VERDE",IF($I85&lt;=$J$3,"AMARILLO",IF($I85&lt;1,"NARANJA","ROJO"))))</f>
        <v/>
      </c>
      <c r="N85" s="33"/>
      <c r="O85" s="33"/>
      <c r="P85" s="33"/>
      <c r="Q85" s="38"/>
      <c r="R85" s="17" t="str">
        <f aca="false">IF($I85="","",IF(OR($I85&gt;=1,$P85="SI",AND($I85&gt;=0.81,OR($N85="MALO",$N85="INSERVIBLE"))),"SI","NO"))</f>
        <v/>
      </c>
      <c r="S85" s="38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4"/>
      <c r="G86" s="33"/>
      <c r="H86" s="35" t="str">
        <f aca="false">IF(OR($F86="",$G86=""),"",($B$3-$F86)/365.25)</f>
        <v/>
      </c>
      <c r="I86" s="35" t="str">
        <f aca="false">IF(OR($H86="",$G86=""),"",$H86/$G86)</f>
        <v/>
      </c>
      <c r="J86" s="36" t="str">
        <f aca="false">IF($I86="","",$I86*100)</f>
        <v/>
      </c>
      <c r="K86" s="35" t="str">
        <f aca="false">IF($H86="","",$G86-$H86)</f>
        <v/>
      </c>
      <c r="L86" s="37" t="str">
        <f aca="false">IF(OR($F86="",$G86=""),"",EDATE($F86,ROUND($G86*12,0)))</f>
        <v/>
      </c>
      <c r="M86" s="17" t="str">
        <f aca="false">IF($I86="","",IF($I86&lt;=$H$3,"VERDE",IF($I86&lt;=$J$3,"AMARILLO",IF($I86&lt;1,"NARANJA","ROJO"))))</f>
        <v/>
      </c>
      <c r="N86" s="33"/>
      <c r="O86" s="33"/>
      <c r="P86" s="33"/>
      <c r="Q86" s="38"/>
      <c r="R86" s="17" t="str">
        <f aca="false">IF($I86="","",IF(OR($I86&gt;=1,$P86="SI",AND($I86&gt;=0.81,OR($N86="MALO",$N86="INSERVIBLE"))),"SI","NO"))</f>
        <v/>
      </c>
      <c r="S86" s="38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4"/>
      <c r="G87" s="33"/>
      <c r="H87" s="35" t="str">
        <f aca="false">IF(OR($F87="",$G87=""),"",($B$3-$F87)/365.25)</f>
        <v/>
      </c>
      <c r="I87" s="35" t="str">
        <f aca="false">IF(OR($H87="",$G87=""),"",$H87/$G87)</f>
        <v/>
      </c>
      <c r="J87" s="36" t="str">
        <f aca="false">IF($I87="","",$I87*100)</f>
        <v/>
      </c>
      <c r="K87" s="35" t="str">
        <f aca="false">IF($H87="","",$G87-$H87)</f>
        <v/>
      </c>
      <c r="L87" s="37" t="str">
        <f aca="false">IF(OR($F87="",$G87=""),"",EDATE($F87,ROUND($G87*12,0)))</f>
        <v/>
      </c>
      <c r="M87" s="17" t="str">
        <f aca="false">IF($I87="","",IF($I87&lt;=$H$3,"VERDE",IF($I87&lt;=$J$3,"AMARILLO",IF($I87&lt;1,"NARANJA","ROJO"))))</f>
        <v/>
      </c>
      <c r="N87" s="33"/>
      <c r="O87" s="33"/>
      <c r="P87" s="33"/>
      <c r="Q87" s="38"/>
      <c r="R87" s="17" t="str">
        <f aca="false">IF($I87="","",IF(OR($I87&gt;=1,$P87="SI",AND($I87&gt;=0.81,OR($N87="MALO",$N87="INSERVIBLE"))),"SI","NO"))</f>
        <v/>
      </c>
      <c r="S87" s="38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4"/>
      <c r="G88" s="33"/>
      <c r="H88" s="35" t="str">
        <f aca="false">IF(OR($F88="",$G88=""),"",($B$3-$F88)/365.25)</f>
        <v/>
      </c>
      <c r="I88" s="35" t="str">
        <f aca="false">IF(OR($H88="",$G88=""),"",$H88/$G88)</f>
        <v/>
      </c>
      <c r="J88" s="36" t="str">
        <f aca="false">IF($I88="","",$I88*100)</f>
        <v/>
      </c>
      <c r="K88" s="35" t="str">
        <f aca="false">IF($H88="","",$G88-$H88)</f>
        <v/>
      </c>
      <c r="L88" s="37" t="str">
        <f aca="false">IF(OR($F88="",$G88=""),"",EDATE($F88,ROUND($G88*12,0)))</f>
        <v/>
      </c>
      <c r="M88" s="17" t="str">
        <f aca="false">IF($I88="","",IF($I88&lt;=$H$3,"VERDE",IF($I88&lt;=$J$3,"AMARILLO",IF($I88&lt;1,"NARANJA","ROJO"))))</f>
        <v/>
      </c>
      <c r="N88" s="33"/>
      <c r="O88" s="33"/>
      <c r="P88" s="33"/>
      <c r="Q88" s="38"/>
      <c r="R88" s="17" t="str">
        <f aca="false">IF($I88="","",IF(OR($I88&gt;=1,$P88="SI",AND($I88&gt;=0.81,OR($N88="MALO",$N88="INSERVIBLE"))),"SI","NO"))</f>
        <v/>
      </c>
      <c r="S88" s="38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4"/>
      <c r="G89" s="33"/>
      <c r="H89" s="35" t="str">
        <f aca="false">IF(OR($F89="",$G89=""),"",($B$3-$F89)/365.25)</f>
        <v/>
      </c>
      <c r="I89" s="35" t="str">
        <f aca="false">IF(OR($H89="",$G89=""),"",$H89/$G89)</f>
        <v/>
      </c>
      <c r="J89" s="36" t="str">
        <f aca="false">IF($I89="","",$I89*100)</f>
        <v/>
      </c>
      <c r="K89" s="35" t="str">
        <f aca="false">IF($H89="","",$G89-$H89)</f>
        <v/>
      </c>
      <c r="L89" s="37" t="str">
        <f aca="false">IF(OR($F89="",$G89=""),"",EDATE($F89,ROUND($G89*12,0)))</f>
        <v/>
      </c>
      <c r="M89" s="17" t="str">
        <f aca="false">IF($I89="","",IF($I89&lt;=$H$3,"VERDE",IF($I89&lt;=$J$3,"AMARILLO",IF($I89&lt;1,"NARANJA","ROJO"))))</f>
        <v/>
      </c>
      <c r="N89" s="33"/>
      <c r="O89" s="33"/>
      <c r="P89" s="33"/>
      <c r="Q89" s="38"/>
      <c r="R89" s="17" t="str">
        <f aca="false">IF($I89="","",IF(OR($I89&gt;=1,$P89="SI",AND($I89&gt;=0.81,OR($N89="MALO",$N89="INSERVIBLE"))),"SI","NO"))</f>
        <v/>
      </c>
      <c r="S89" s="38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4"/>
      <c r="G90" s="33"/>
      <c r="H90" s="35" t="str">
        <f aca="false">IF(OR($F90="",$G90=""),"",($B$3-$F90)/365.25)</f>
        <v/>
      </c>
      <c r="I90" s="35" t="str">
        <f aca="false">IF(OR($H90="",$G90=""),"",$H90/$G90)</f>
        <v/>
      </c>
      <c r="J90" s="36" t="str">
        <f aca="false">IF($I90="","",$I90*100)</f>
        <v/>
      </c>
      <c r="K90" s="35" t="str">
        <f aca="false">IF($H90="","",$G90-$H90)</f>
        <v/>
      </c>
      <c r="L90" s="37" t="str">
        <f aca="false">IF(OR($F90="",$G90=""),"",EDATE($F90,ROUND($G90*12,0)))</f>
        <v/>
      </c>
      <c r="M90" s="17" t="str">
        <f aca="false">IF($I90="","",IF($I90&lt;=$H$3,"VERDE",IF($I90&lt;=$J$3,"AMARILLO",IF($I90&lt;1,"NARANJA","ROJO"))))</f>
        <v/>
      </c>
      <c r="N90" s="33"/>
      <c r="O90" s="33"/>
      <c r="P90" s="33"/>
      <c r="Q90" s="38"/>
      <c r="R90" s="17" t="str">
        <f aca="false">IF($I90="","",IF(OR($I90&gt;=1,$P90="SI",AND($I90&gt;=0.81,OR($N90="MALO",$N90="INSERVIBLE"))),"SI","NO"))</f>
        <v/>
      </c>
      <c r="S90" s="38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4"/>
      <c r="G91" s="33"/>
      <c r="H91" s="35" t="str">
        <f aca="false">IF(OR($F91="",$G91=""),"",($B$3-$F91)/365.25)</f>
        <v/>
      </c>
      <c r="I91" s="35" t="str">
        <f aca="false">IF(OR($H91="",$G91=""),"",$H91/$G91)</f>
        <v/>
      </c>
      <c r="J91" s="36" t="str">
        <f aca="false">IF($I91="","",$I91*100)</f>
        <v/>
      </c>
      <c r="K91" s="35" t="str">
        <f aca="false">IF($H91="","",$G91-$H91)</f>
        <v/>
      </c>
      <c r="L91" s="37" t="str">
        <f aca="false">IF(OR($F91="",$G91=""),"",EDATE($F91,ROUND($G91*12,0)))</f>
        <v/>
      </c>
      <c r="M91" s="17" t="str">
        <f aca="false">IF($I91="","",IF($I91&lt;=$H$3,"VERDE",IF($I91&lt;=$J$3,"AMARILLO",IF($I91&lt;1,"NARANJA","ROJO"))))</f>
        <v/>
      </c>
      <c r="N91" s="33"/>
      <c r="O91" s="33"/>
      <c r="P91" s="33"/>
      <c r="Q91" s="38"/>
      <c r="R91" s="17" t="str">
        <f aca="false">IF($I91="","",IF(OR($I91&gt;=1,$P91="SI",AND($I91&gt;=0.81,OR($N91="MALO",$N91="INSERVIBLE"))),"SI","NO"))</f>
        <v/>
      </c>
      <c r="S91" s="38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4"/>
      <c r="G92" s="33"/>
      <c r="H92" s="35" t="str">
        <f aca="false">IF(OR($F92="",$G92=""),"",($B$3-$F92)/365.25)</f>
        <v/>
      </c>
      <c r="I92" s="35" t="str">
        <f aca="false">IF(OR($H92="",$G92=""),"",$H92/$G92)</f>
        <v/>
      </c>
      <c r="J92" s="36" t="str">
        <f aca="false">IF($I92="","",$I92*100)</f>
        <v/>
      </c>
      <c r="K92" s="35" t="str">
        <f aca="false">IF($H92="","",$G92-$H92)</f>
        <v/>
      </c>
      <c r="L92" s="37" t="str">
        <f aca="false">IF(OR($F92="",$G92=""),"",EDATE($F92,ROUND($G92*12,0)))</f>
        <v/>
      </c>
      <c r="M92" s="17" t="str">
        <f aca="false">IF($I92="","",IF($I92&lt;=$H$3,"VERDE",IF($I92&lt;=$J$3,"AMARILLO",IF($I92&lt;1,"NARANJA","ROJO"))))</f>
        <v/>
      </c>
      <c r="N92" s="33"/>
      <c r="O92" s="33"/>
      <c r="P92" s="33"/>
      <c r="Q92" s="38"/>
      <c r="R92" s="17" t="str">
        <f aca="false">IF($I92="","",IF(OR($I92&gt;=1,$P92="SI",AND($I92&gt;=0.81,OR($N92="MALO",$N92="INSERVIBLE"))),"SI","NO"))</f>
        <v/>
      </c>
      <c r="S92" s="38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4"/>
      <c r="G93" s="33"/>
      <c r="H93" s="35" t="str">
        <f aca="false">IF(OR($F93="",$G93=""),"",($B$3-$F93)/365.25)</f>
        <v/>
      </c>
      <c r="I93" s="35" t="str">
        <f aca="false">IF(OR($H93="",$G93=""),"",$H93/$G93)</f>
        <v/>
      </c>
      <c r="J93" s="36" t="str">
        <f aca="false">IF($I93="","",$I93*100)</f>
        <v/>
      </c>
      <c r="K93" s="35" t="str">
        <f aca="false">IF($H93="","",$G93-$H93)</f>
        <v/>
      </c>
      <c r="L93" s="37" t="str">
        <f aca="false">IF(OR($F93="",$G93=""),"",EDATE($F93,ROUND($G93*12,0)))</f>
        <v/>
      </c>
      <c r="M93" s="17" t="str">
        <f aca="false">IF($I93="","",IF($I93&lt;=$H$3,"VERDE",IF($I93&lt;=$J$3,"AMARILLO",IF($I93&lt;1,"NARANJA","ROJO"))))</f>
        <v/>
      </c>
      <c r="N93" s="33"/>
      <c r="O93" s="33"/>
      <c r="P93" s="33"/>
      <c r="Q93" s="38"/>
      <c r="R93" s="17" t="str">
        <f aca="false">IF($I93="","",IF(OR($I93&gt;=1,$P93="SI",AND($I93&gt;=0.81,OR($N93="MALO",$N93="INSERVIBLE"))),"SI","NO"))</f>
        <v/>
      </c>
      <c r="S93" s="38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4"/>
      <c r="G94" s="33"/>
      <c r="H94" s="35" t="str">
        <f aca="false">IF(OR($F94="",$G94=""),"",($B$3-$F94)/365.25)</f>
        <v/>
      </c>
      <c r="I94" s="35" t="str">
        <f aca="false">IF(OR($H94="",$G94=""),"",$H94/$G94)</f>
        <v/>
      </c>
      <c r="J94" s="36" t="str">
        <f aca="false">IF($I94="","",$I94*100)</f>
        <v/>
      </c>
      <c r="K94" s="35" t="str">
        <f aca="false">IF($H94="","",$G94-$H94)</f>
        <v/>
      </c>
      <c r="L94" s="37" t="str">
        <f aca="false">IF(OR($F94="",$G94=""),"",EDATE($F94,ROUND($G94*12,0)))</f>
        <v/>
      </c>
      <c r="M94" s="17" t="str">
        <f aca="false">IF($I94="","",IF($I94&lt;=$H$3,"VERDE",IF($I94&lt;=$J$3,"AMARILLO",IF($I94&lt;1,"NARANJA","ROJO"))))</f>
        <v/>
      </c>
      <c r="N94" s="33"/>
      <c r="O94" s="33"/>
      <c r="P94" s="33"/>
      <c r="Q94" s="38"/>
      <c r="R94" s="17" t="str">
        <f aca="false">IF($I94="","",IF(OR($I94&gt;=1,$P94="SI",AND($I94&gt;=0.81,OR($N94="MALO",$N94="INSERVIBLE"))),"SI","NO"))</f>
        <v/>
      </c>
      <c r="S94" s="38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4"/>
      <c r="G95" s="33"/>
      <c r="H95" s="35" t="str">
        <f aca="false">IF(OR($F95="",$G95=""),"",($B$3-$F95)/365.25)</f>
        <v/>
      </c>
      <c r="I95" s="35" t="str">
        <f aca="false">IF(OR($H95="",$G95=""),"",$H95/$G95)</f>
        <v/>
      </c>
      <c r="J95" s="36" t="str">
        <f aca="false">IF($I95="","",$I95*100)</f>
        <v/>
      </c>
      <c r="K95" s="35" t="str">
        <f aca="false">IF($H95="","",$G95-$H95)</f>
        <v/>
      </c>
      <c r="L95" s="37" t="str">
        <f aca="false">IF(OR($F95="",$G95=""),"",EDATE($F95,ROUND($G95*12,0)))</f>
        <v/>
      </c>
      <c r="M95" s="17" t="str">
        <f aca="false">IF($I95="","",IF($I95&lt;=$H$3,"VERDE",IF($I95&lt;=$J$3,"AMARILLO",IF($I95&lt;1,"NARANJA","ROJO"))))</f>
        <v/>
      </c>
      <c r="N95" s="33"/>
      <c r="O95" s="33"/>
      <c r="P95" s="33"/>
      <c r="Q95" s="38"/>
      <c r="R95" s="17" t="str">
        <f aca="false">IF($I95="","",IF(OR($I95&gt;=1,$P95="SI",AND($I95&gt;=0.81,OR($N95="MALO",$N95="INSERVIBLE"))),"SI","NO"))</f>
        <v/>
      </c>
      <c r="S95" s="38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4"/>
      <c r="G96" s="33"/>
      <c r="H96" s="35" t="str">
        <f aca="false">IF(OR($F96="",$G96=""),"",($B$3-$F96)/365.25)</f>
        <v/>
      </c>
      <c r="I96" s="35" t="str">
        <f aca="false">IF(OR($H96="",$G96=""),"",$H96/$G96)</f>
        <v/>
      </c>
      <c r="J96" s="36" t="str">
        <f aca="false">IF($I96="","",$I96*100)</f>
        <v/>
      </c>
      <c r="K96" s="35" t="str">
        <f aca="false">IF($H96="","",$G96-$H96)</f>
        <v/>
      </c>
      <c r="L96" s="37" t="str">
        <f aca="false">IF(OR($F96="",$G96=""),"",EDATE($F96,ROUND($G96*12,0)))</f>
        <v/>
      </c>
      <c r="M96" s="17" t="str">
        <f aca="false">IF($I96="","",IF($I96&lt;=$H$3,"VERDE",IF($I96&lt;=$J$3,"AMARILLO",IF($I96&lt;1,"NARANJA","ROJO"))))</f>
        <v/>
      </c>
      <c r="N96" s="33"/>
      <c r="O96" s="33"/>
      <c r="P96" s="33"/>
      <c r="Q96" s="38"/>
      <c r="R96" s="17" t="str">
        <f aca="false">IF($I96="","",IF(OR($I96&gt;=1,$P96="SI",AND($I96&gt;=0.81,OR($N96="MALO",$N96="INSERVIBLE"))),"SI","NO"))</f>
        <v/>
      </c>
      <c r="S96" s="38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4"/>
      <c r="G97" s="33"/>
      <c r="H97" s="35" t="str">
        <f aca="false">IF(OR($F97="",$G97=""),"",($B$3-$F97)/365.25)</f>
        <v/>
      </c>
      <c r="I97" s="35" t="str">
        <f aca="false">IF(OR($H97="",$G97=""),"",$H97/$G97)</f>
        <v/>
      </c>
      <c r="J97" s="36" t="str">
        <f aca="false">IF($I97="","",$I97*100)</f>
        <v/>
      </c>
      <c r="K97" s="35" t="str">
        <f aca="false">IF($H97="","",$G97-$H97)</f>
        <v/>
      </c>
      <c r="L97" s="37" t="str">
        <f aca="false">IF(OR($F97="",$G97=""),"",EDATE($F97,ROUND($G97*12,0)))</f>
        <v/>
      </c>
      <c r="M97" s="17" t="str">
        <f aca="false">IF($I97="","",IF($I97&lt;=$H$3,"VERDE",IF($I97&lt;=$J$3,"AMARILLO",IF($I97&lt;1,"NARANJA","ROJO"))))</f>
        <v/>
      </c>
      <c r="N97" s="33"/>
      <c r="O97" s="33"/>
      <c r="P97" s="33"/>
      <c r="Q97" s="38"/>
      <c r="R97" s="17" t="str">
        <f aca="false">IF($I97="","",IF(OR($I97&gt;=1,$P97="SI",AND($I97&gt;=0.81,OR($N97="MALO",$N97="INSERVIBLE"))),"SI","NO"))</f>
        <v/>
      </c>
      <c r="S97" s="38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4"/>
      <c r="G98" s="33"/>
      <c r="H98" s="35" t="str">
        <f aca="false">IF(OR($F98="",$G98=""),"",($B$3-$F98)/365.25)</f>
        <v/>
      </c>
      <c r="I98" s="35" t="str">
        <f aca="false">IF(OR($H98="",$G98=""),"",$H98/$G98)</f>
        <v/>
      </c>
      <c r="J98" s="36" t="str">
        <f aca="false">IF($I98="","",$I98*100)</f>
        <v/>
      </c>
      <c r="K98" s="35" t="str">
        <f aca="false">IF($H98="","",$G98-$H98)</f>
        <v/>
      </c>
      <c r="L98" s="37" t="str">
        <f aca="false">IF(OR($F98="",$G98=""),"",EDATE($F98,ROUND($G98*12,0)))</f>
        <v/>
      </c>
      <c r="M98" s="17" t="str">
        <f aca="false">IF($I98="","",IF($I98&lt;=$H$3,"VERDE",IF($I98&lt;=$J$3,"AMARILLO",IF($I98&lt;1,"NARANJA","ROJO"))))</f>
        <v/>
      </c>
      <c r="N98" s="33"/>
      <c r="O98" s="33"/>
      <c r="P98" s="33"/>
      <c r="Q98" s="38"/>
      <c r="R98" s="17" t="str">
        <f aca="false">IF($I98="","",IF(OR($I98&gt;=1,$P98="SI",AND($I98&gt;=0.81,OR($N98="MALO",$N98="INSERVIBLE"))),"SI","NO"))</f>
        <v/>
      </c>
      <c r="S98" s="38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4"/>
      <c r="G99" s="33"/>
      <c r="H99" s="35" t="str">
        <f aca="false">IF(OR($F99="",$G99=""),"",($B$3-$F99)/365.25)</f>
        <v/>
      </c>
      <c r="I99" s="35" t="str">
        <f aca="false">IF(OR($H99="",$G99=""),"",$H99/$G99)</f>
        <v/>
      </c>
      <c r="J99" s="36" t="str">
        <f aca="false">IF($I99="","",$I99*100)</f>
        <v/>
      </c>
      <c r="K99" s="35" t="str">
        <f aca="false">IF($H99="","",$G99-$H99)</f>
        <v/>
      </c>
      <c r="L99" s="37" t="str">
        <f aca="false">IF(OR($F99="",$G99=""),"",EDATE($F99,ROUND($G99*12,0)))</f>
        <v/>
      </c>
      <c r="M99" s="17" t="str">
        <f aca="false">IF($I99="","",IF($I99&lt;=$H$3,"VERDE",IF($I99&lt;=$J$3,"AMARILLO",IF($I99&lt;1,"NARANJA","ROJO"))))</f>
        <v/>
      </c>
      <c r="N99" s="33"/>
      <c r="O99" s="33"/>
      <c r="P99" s="33"/>
      <c r="Q99" s="38"/>
      <c r="R99" s="17" t="str">
        <f aca="false">IF($I99="","",IF(OR($I99&gt;=1,$P99="SI",AND($I99&gt;=0.81,OR($N99="MALO",$N99="INSERVIBLE"))),"SI","NO"))</f>
        <v/>
      </c>
      <c r="S99" s="38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4"/>
      <c r="G100" s="33"/>
      <c r="H100" s="35" t="str">
        <f aca="false">IF(OR($F100="",$G100=""),"",($B$3-$F100)/365.25)</f>
        <v/>
      </c>
      <c r="I100" s="35" t="str">
        <f aca="false">IF(OR($H100="",$G100=""),"",$H100/$G100)</f>
        <v/>
      </c>
      <c r="J100" s="36" t="str">
        <f aca="false">IF($I100="","",$I100*100)</f>
        <v/>
      </c>
      <c r="K100" s="35" t="str">
        <f aca="false">IF($H100="","",$G100-$H100)</f>
        <v/>
      </c>
      <c r="L100" s="37" t="str">
        <f aca="false">IF(OR($F100="",$G100=""),"",EDATE($F100,ROUND($G100*12,0)))</f>
        <v/>
      </c>
      <c r="M100" s="17" t="str">
        <f aca="false">IF($I100="","",IF($I100&lt;=$H$3,"VERDE",IF($I100&lt;=$J$3,"AMARILLO",IF($I100&lt;1,"NARANJA","ROJO"))))</f>
        <v/>
      </c>
      <c r="N100" s="33"/>
      <c r="O100" s="33"/>
      <c r="P100" s="33"/>
      <c r="Q100" s="38"/>
      <c r="R100" s="17" t="str">
        <f aca="false">IF($I100="","",IF(OR($I100&gt;=1,$P100="SI",AND($I100&gt;=0.81,OR($N100="MALO",$N100="INSERVIBLE"))),"SI","NO"))</f>
        <v/>
      </c>
      <c r="S100" s="38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4"/>
      <c r="G101" s="33"/>
      <c r="H101" s="35" t="str">
        <f aca="false">IF(OR($F101="",$G101=""),"",($B$3-$F101)/365.25)</f>
        <v/>
      </c>
      <c r="I101" s="35" t="str">
        <f aca="false">IF(OR($H101="",$G101=""),"",$H101/$G101)</f>
        <v/>
      </c>
      <c r="J101" s="36" t="str">
        <f aca="false">IF($I101="","",$I101*100)</f>
        <v/>
      </c>
      <c r="K101" s="35" t="str">
        <f aca="false">IF($H101="","",$G101-$H101)</f>
        <v/>
      </c>
      <c r="L101" s="37" t="str">
        <f aca="false">IF(OR($F101="",$G101=""),"",EDATE($F101,ROUND($G101*12,0)))</f>
        <v/>
      </c>
      <c r="M101" s="17" t="str">
        <f aca="false">IF($I101="","",IF($I101&lt;=$H$3,"VERDE",IF($I101&lt;=$J$3,"AMARILLO",IF($I101&lt;1,"NARANJA","ROJO"))))</f>
        <v/>
      </c>
      <c r="N101" s="33"/>
      <c r="O101" s="33"/>
      <c r="P101" s="33"/>
      <c r="Q101" s="38"/>
      <c r="R101" s="17" t="str">
        <f aca="false">IF($I101="","",IF(OR($I101&gt;=1,$P101="SI",AND($I101&gt;=0.81,OR($N101="MALO",$N101="INSERVIBLE"))),"SI","NO"))</f>
        <v/>
      </c>
      <c r="S101" s="38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4"/>
      <c r="G102" s="33"/>
      <c r="H102" s="35" t="str">
        <f aca="false">IF(OR($F102="",$G102=""),"",($B$3-$F102)/365.25)</f>
        <v/>
      </c>
      <c r="I102" s="35" t="str">
        <f aca="false">IF(OR($H102="",$G102=""),"",$H102/$G102)</f>
        <v/>
      </c>
      <c r="J102" s="36" t="str">
        <f aca="false">IF($I102="","",$I102*100)</f>
        <v/>
      </c>
      <c r="K102" s="35" t="str">
        <f aca="false">IF($H102="","",$G102-$H102)</f>
        <v/>
      </c>
      <c r="L102" s="37" t="str">
        <f aca="false">IF(OR($F102="",$G102=""),"",EDATE($F102,ROUND($G102*12,0)))</f>
        <v/>
      </c>
      <c r="M102" s="17" t="str">
        <f aca="false">IF($I102="","",IF($I102&lt;=$H$3,"VERDE",IF($I102&lt;=$J$3,"AMARILLO",IF($I102&lt;1,"NARANJA","ROJO"))))</f>
        <v/>
      </c>
      <c r="N102" s="33"/>
      <c r="O102" s="33"/>
      <c r="P102" s="33"/>
      <c r="Q102" s="38"/>
      <c r="R102" s="17" t="str">
        <f aca="false">IF($I102="","",IF(OR($I102&gt;=1,$P102="SI",AND($I102&gt;=0.81,OR($N102="MALO",$N102="INSERVIBLE"))),"SI","NO"))</f>
        <v/>
      </c>
      <c r="S102" s="38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4"/>
      <c r="G103" s="33"/>
      <c r="H103" s="35" t="str">
        <f aca="false">IF(OR($F103="",$G103=""),"",($B$3-$F103)/365.25)</f>
        <v/>
      </c>
      <c r="I103" s="35" t="str">
        <f aca="false">IF(OR($H103="",$G103=""),"",$H103/$G103)</f>
        <v/>
      </c>
      <c r="J103" s="36" t="str">
        <f aca="false">IF($I103="","",$I103*100)</f>
        <v/>
      </c>
      <c r="K103" s="35" t="str">
        <f aca="false">IF($H103="","",$G103-$H103)</f>
        <v/>
      </c>
      <c r="L103" s="37" t="str">
        <f aca="false">IF(OR($F103="",$G103=""),"",EDATE($F103,ROUND($G103*12,0)))</f>
        <v/>
      </c>
      <c r="M103" s="17" t="str">
        <f aca="false">IF($I103="","",IF($I103&lt;=$H$3,"VERDE",IF($I103&lt;=$J$3,"AMARILLO",IF($I103&lt;1,"NARANJA","ROJO"))))</f>
        <v/>
      </c>
      <c r="N103" s="33"/>
      <c r="O103" s="33"/>
      <c r="P103" s="33"/>
      <c r="Q103" s="38"/>
      <c r="R103" s="17" t="str">
        <f aca="false">IF($I103="","",IF(OR($I103&gt;=1,$P103="SI",AND($I103&gt;=0.81,OR($N103="MALO",$N103="INSERVIBLE"))),"SI","NO"))</f>
        <v/>
      </c>
      <c r="S103" s="38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4"/>
      <c r="G104" s="33"/>
      <c r="H104" s="35" t="str">
        <f aca="false">IF(OR($F104="",$G104=""),"",($B$3-$F104)/365.25)</f>
        <v/>
      </c>
      <c r="I104" s="35" t="str">
        <f aca="false">IF(OR($H104="",$G104=""),"",$H104/$G104)</f>
        <v/>
      </c>
      <c r="J104" s="36" t="str">
        <f aca="false">IF($I104="","",$I104*100)</f>
        <v/>
      </c>
      <c r="K104" s="35" t="str">
        <f aca="false">IF($H104="","",$G104-$H104)</f>
        <v/>
      </c>
      <c r="L104" s="37" t="str">
        <f aca="false">IF(OR($F104="",$G104=""),"",EDATE($F104,ROUND($G104*12,0)))</f>
        <v/>
      </c>
      <c r="M104" s="17" t="str">
        <f aca="false">IF($I104="","",IF($I104&lt;=$H$3,"VERDE",IF($I104&lt;=$J$3,"AMARILLO",IF($I104&lt;1,"NARANJA","ROJO"))))</f>
        <v/>
      </c>
      <c r="N104" s="33"/>
      <c r="O104" s="33"/>
      <c r="P104" s="33"/>
      <c r="Q104" s="38"/>
      <c r="R104" s="17" t="str">
        <f aca="false">IF($I104="","",IF(OR($I104&gt;=1,$P104="SI",AND($I104&gt;=0.81,OR($N104="MALO",$N104="INSERVIBLE"))),"SI","NO"))</f>
        <v/>
      </c>
      <c r="S104" s="38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4"/>
      <c r="G105" s="33"/>
      <c r="H105" s="35" t="str">
        <f aca="false">IF(OR($F105="",$G105=""),"",($B$3-$F105)/365.25)</f>
        <v/>
      </c>
      <c r="I105" s="35" t="str">
        <f aca="false">IF(OR($H105="",$G105=""),"",$H105/$G105)</f>
        <v/>
      </c>
      <c r="J105" s="36" t="str">
        <f aca="false">IF($I105="","",$I105*100)</f>
        <v/>
      </c>
      <c r="K105" s="35" t="str">
        <f aca="false">IF($H105="","",$G105-$H105)</f>
        <v/>
      </c>
      <c r="L105" s="37" t="str">
        <f aca="false">IF(OR($F105="",$G105=""),"",EDATE($F105,ROUND($G105*12,0)))</f>
        <v/>
      </c>
      <c r="M105" s="17" t="str">
        <f aca="false">IF($I105="","",IF($I105&lt;=$H$3,"VERDE",IF($I105&lt;=$J$3,"AMARILLO",IF($I105&lt;1,"NARANJA","ROJO"))))</f>
        <v/>
      </c>
      <c r="N105" s="33"/>
      <c r="O105" s="33"/>
      <c r="P105" s="33"/>
      <c r="Q105" s="38"/>
      <c r="R105" s="17" t="str">
        <f aca="false">IF($I105="","",IF(OR($I105&gt;=1,$P105="SI",AND($I105&gt;=0.81,OR($N105="MALO",$N105="INSERVIBLE"))),"SI","NO"))</f>
        <v/>
      </c>
      <c r="S105" s="38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4"/>
      <c r="G106" s="33"/>
      <c r="H106" s="35" t="str">
        <f aca="false">IF(OR($F106="",$G106=""),"",($B$3-$F106)/365.25)</f>
        <v/>
      </c>
      <c r="I106" s="35" t="str">
        <f aca="false">IF(OR($H106="",$G106=""),"",$H106/$G106)</f>
        <v/>
      </c>
      <c r="J106" s="36" t="str">
        <f aca="false">IF($I106="","",$I106*100)</f>
        <v/>
      </c>
      <c r="K106" s="35" t="str">
        <f aca="false">IF($H106="","",$G106-$H106)</f>
        <v/>
      </c>
      <c r="L106" s="37" t="str">
        <f aca="false">IF(OR($F106="",$G106=""),"",EDATE($F106,ROUND($G106*12,0)))</f>
        <v/>
      </c>
      <c r="M106" s="17" t="str">
        <f aca="false">IF($I106="","",IF($I106&lt;=$H$3,"VERDE",IF($I106&lt;=$J$3,"AMARILLO",IF($I106&lt;1,"NARANJA","ROJO"))))</f>
        <v/>
      </c>
      <c r="N106" s="33"/>
      <c r="O106" s="33"/>
      <c r="P106" s="33"/>
      <c r="Q106" s="38"/>
      <c r="R106" s="17" t="str">
        <f aca="false">IF($I106="","",IF(OR($I106&gt;=1,$P106="SI",AND($I106&gt;=0.81,OR($N106="MALO",$N106="INSERVIBLE"))),"SI","NO"))</f>
        <v/>
      </c>
      <c r="S106" s="38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4"/>
      <c r="G107" s="33"/>
      <c r="H107" s="35" t="str">
        <f aca="false">IF(OR($F107="",$G107=""),"",($B$3-$F107)/365.25)</f>
        <v/>
      </c>
      <c r="I107" s="35" t="str">
        <f aca="false">IF(OR($H107="",$G107=""),"",$H107/$G107)</f>
        <v/>
      </c>
      <c r="J107" s="36" t="str">
        <f aca="false">IF($I107="","",$I107*100)</f>
        <v/>
      </c>
      <c r="K107" s="35" t="str">
        <f aca="false">IF($H107="","",$G107-$H107)</f>
        <v/>
      </c>
      <c r="L107" s="37" t="str">
        <f aca="false">IF(OR($F107="",$G107=""),"",EDATE($F107,ROUND($G107*12,0)))</f>
        <v/>
      </c>
      <c r="M107" s="17" t="str">
        <f aca="false">IF($I107="","",IF($I107&lt;=$H$3,"VERDE",IF($I107&lt;=$J$3,"AMARILLO",IF($I107&lt;1,"NARANJA","ROJO"))))</f>
        <v/>
      </c>
      <c r="N107" s="33"/>
      <c r="O107" s="33"/>
      <c r="P107" s="33"/>
      <c r="Q107" s="38"/>
      <c r="R107" s="17" t="str">
        <f aca="false">IF($I107="","",IF(OR($I107&gt;=1,$P107="SI",AND($I107&gt;=0.81,OR($N107="MALO",$N107="INSERVIBLE"))),"SI","NO"))</f>
        <v/>
      </c>
      <c r="S107" s="38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4"/>
      <c r="G108" s="33"/>
      <c r="H108" s="35" t="str">
        <f aca="false">IF(OR($F108="",$G108=""),"",($B$3-$F108)/365.25)</f>
        <v/>
      </c>
      <c r="I108" s="35" t="str">
        <f aca="false">IF(OR($H108="",$G108=""),"",$H108/$G108)</f>
        <v/>
      </c>
      <c r="J108" s="36" t="str">
        <f aca="false">IF($I108="","",$I108*100)</f>
        <v/>
      </c>
      <c r="K108" s="35" t="str">
        <f aca="false">IF($H108="","",$G108-$H108)</f>
        <v/>
      </c>
      <c r="L108" s="37" t="str">
        <f aca="false">IF(OR($F108="",$G108=""),"",EDATE($F108,ROUND($G108*12,0)))</f>
        <v/>
      </c>
      <c r="M108" s="17" t="str">
        <f aca="false">IF($I108="","",IF($I108&lt;=$H$3,"VERDE",IF($I108&lt;=$J$3,"AMARILLO",IF($I108&lt;1,"NARANJA","ROJO"))))</f>
        <v/>
      </c>
      <c r="N108" s="33"/>
      <c r="O108" s="33"/>
      <c r="P108" s="33"/>
      <c r="Q108" s="38"/>
      <c r="R108" s="17" t="str">
        <f aca="false">IF($I108="","",IF(OR($I108&gt;=1,$P108="SI",AND($I108&gt;=0.81,OR($N108="MALO",$N108="INSERVIBLE"))),"SI","NO"))</f>
        <v/>
      </c>
      <c r="S108" s="38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4"/>
      <c r="G109" s="33"/>
      <c r="H109" s="35" t="str">
        <f aca="false">IF(OR($F109="",$G109=""),"",($B$3-$F109)/365.25)</f>
        <v/>
      </c>
      <c r="I109" s="35" t="str">
        <f aca="false">IF(OR($H109="",$G109=""),"",$H109/$G109)</f>
        <v/>
      </c>
      <c r="J109" s="36" t="str">
        <f aca="false">IF($I109="","",$I109*100)</f>
        <v/>
      </c>
      <c r="K109" s="35" t="str">
        <f aca="false">IF($H109="","",$G109-$H109)</f>
        <v/>
      </c>
      <c r="L109" s="37" t="str">
        <f aca="false">IF(OR($F109="",$G109=""),"",EDATE($F109,ROUND($G109*12,0)))</f>
        <v/>
      </c>
      <c r="M109" s="17" t="str">
        <f aca="false">IF($I109="","",IF($I109&lt;=$H$3,"VERDE",IF($I109&lt;=$J$3,"AMARILLO",IF($I109&lt;1,"NARANJA","ROJO"))))</f>
        <v/>
      </c>
      <c r="N109" s="33"/>
      <c r="O109" s="33"/>
      <c r="P109" s="33"/>
      <c r="Q109" s="38"/>
      <c r="R109" s="17" t="str">
        <f aca="false">IF($I109="","",IF(OR($I109&gt;=1,$P109="SI",AND($I109&gt;=0.81,OR($N109="MALO",$N109="INSERVIBLE"))),"SI","NO"))</f>
        <v/>
      </c>
      <c r="S109" s="38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4"/>
      <c r="G110" s="33"/>
      <c r="H110" s="35" t="str">
        <f aca="false">IF(OR($F110="",$G110=""),"",($B$3-$F110)/365.25)</f>
        <v/>
      </c>
      <c r="I110" s="35" t="str">
        <f aca="false">IF(OR($H110="",$G110=""),"",$H110/$G110)</f>
        <v/>
      </c>
      <c r="J110" s="36" t="str">
        <f aca="false">IF($I110="","",$I110*100)</f>
        <v/>
      </c>
      <c r="K110" s="35" t="str">
        <f aca="false">IF($H110="","",$G110-$H110)</f>
        <v/>
      </c>
      <c r="L110" s="37" t="str">
        <f aca="false">IF(OR($F110="",$G110=""),"",EDATE($F110,ROUND($G110*12,0)))</f>
        <v/>
      </c>
      <c r="M110" s="17" t="str">
        <f aca="false">IF($I110="","",IF($I110&lt;=$H$3,"VERDE",IF($I110&lt;=$J$3,"AMARILLO",IF($I110&lt;1,"NARANJA","ROJO"))))</f>
        <v/>
      </c>
      <c r="N110" s="33"/>
      <c r="O110" s="33"/>
      <c r="P110" s="33"/>
      <c r="Q110" s="38"/>
      <c r="R110" s="17" t="str">
        <f aca="false">IF($I110="","",IF(OR($I110&gt;=1,$P110="SI",AND($I110&gt;=0.81,OR($N110="MALO",$N110="INSERVIBLE"))),"SI","NO"))</f>
        <v/>
      </c>
      <c r="S110" s="38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4"/>
      <c r="G111" s="33"/>
      <c r="H111" s="35" t="str">
        <f aca="false">IF(OR($F111="",$G111=""),"",($B$3-$F111)/365.25)</f>
        <v/>
      </c>
      <c r="I111" s="35" t="str">
        <f aca="false">IF(OR($H111="",$G111=""),"",$H111/$G111)</f>
        <v/>
      </c>
      <c r="J111" s="36" t="str">
        <f aca="false">IF($I111="","",$I111*100)</f>
        <v/>
      </c>
      <c r="K111" s="35" t="str">
        <f aca="false">IF($H111="","",$G111-$H111)</f>
        <v/>
      </c>
      <c r="L111" s="37" t="str">
        <f aca="false">IF(OR($F111="",$G111=""),"",EDATE($F111,ROUND($G111*12,0)))</f>
        <v/>
      </c>
      <c r="M111" s="17" t="str">
        <f aca="false">IF($I111="","",IF($I111&lt;=$H$3,"VERDE",IF($I111&lt;=$J$3,"AMARILLO",IF($I111&lt;1,"NARANJA","ROJO"))))</f>
        <v/>
      </c>
      <c r="N111" s="33"/>
      <c r="O111" s="33"/>
      <c r="P111" s="33"/>
      <c r="Q111" s="38"/>
      <c r="R111" s="17" t="str">
        <f aca="false">IF($I111="","",IF(OR($I111&gt;=1,$P111="SI",AND($I111&gt;=0.81,OR($N111="MALO",$N111="INSERVIBLE"))),"SI","NO"))</f>
        <v/>
      </c>
      <c r="S111" s="38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4"/>
      <c r="G112" s="33"/>
      <c r="H112" s="35" t="str">
        <f aca="false">IF(OR($F112="",$G112=""),"",($B$3-$F112)/365.25)</f>
        <v/>
      </c>
      <c r="I112" s="35" t="str">
        <f aca="false">IF(OR($H112="",$G112=""),"",$H112/$G112)</f>
        <v/>
      </c>
      <c r="J112" s="36" t="str">
        <f aca="false">IF($I112="","",$I112*100)</f>
        <v/>
      </c>
      <c r="K112" s="35" t="str">
        <f aca="false">IF($H112="","",$G112-$H112)</f>
        <v/>
      </c>
      <c r="L112" s="37" t="str">
        <f aca="false">IF(OR($F112="",$G112=""),"",EDATE($F112,ROUND($G112*12,0)))</f>
        <v/>
      </c>
      <c r="M112" s="17" t="str">
        <f aca="false">IF($I112="","",IF($I112&lt;=$H$3,"VERDE",IF($I112&lt;=$J$3,"AMARILLO",IF($I112&lt;1,"NARANJA","ROJO"))))</f>
        <v/>
      </c>
      <c r="N112" s="33"/>
      <c r="O112" s="33"/>
      <c r="P112" s="33"/>
      <c r="Q112" s="38"/>
      <c r="R112" s="17" t="str">
        <f aca="false">IF($I112="","",IF(OR($I112&gt;=1,$P112="SI",AND($I112&gt;=0.81,OR($N112="MALO",$N112="INSERVIBLE"))),"SI","NO"))</f>
        <v/>
      </c>
      <c r="S112" s="38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4"/>
      <c r="G113" s="33"/>
      <c r="H113" s="35" t="str">
        <f aca="false">IF(OR($F113="",$G113=""),"",($B$3-$F113)/365.25)</f>
        <v/>
      </c>
      <c r="I113" s="35" t="str">
        <f aca="false">IF(OR($H113="",$G113=""),"",$H113/$G113)</f>
        <v/>
      </c>
      <c r="J113" s="36" t="str">
        <f aca="false">IF($I113="","",$I113*100)</f>
        <v/>
      </c>
      <c r="K113" s="35" t="str">
        <f aca="false">IF($H113="","",$G113-$H113)</f>
        <v/>
      </c>
      <c r="L113" s="37" t="str">
        <f aca="false">IF(OR($F113="",$G113=""),"",EDATE($F113,ROUND($G113*12,0)))</f>
        <v/>
      </c>
      <c r="M113" s="17" t="str">
        <f aca="false">IF($I113="","",IF($I113&lt;=$H$3,"VERDE",IF($I113&lt;=$J$3,"AMARILLO",IF($I113&lt;1,"NARANJA","ROJO"))))</f>
        <v/>
      </c>
      <c r="N113" s="33"/>
      <c r="O113" s="33"/>
      <c r="P113" s="33"/>
      <c r="Q113" s="38"/>
      <c r="R113" s="17" t="str">
        <f aca="false">IF($I113="","",IF(OR($I113&gt;=1,$P113="SI",AND($I113&gt;=0.81,OR($N113="MALO",$N113="INSERVIBLE"))),"SI","NO"))</f>
        <v/>
      </c>
      <c r="S113" s="38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4"/>
      <c r="G114" s="33"/>
      <c r="H114" s="35" t="str">
        <f aca="false">IF(OR($F114="",$G114=""),"",($B$3-$F114)/365.25)</f>
        <v/>
      </c>
      <c r="I114" s="35" t="str">
        <f aca="false">IF(OR($H114="",$G114=""),"",$H114/$G114)</f>
        <v/>
      </c>
      <c r="J114" s="36" t="str">
        <f aca="false">IF($I114="","",$I114*100)</f>
        <v/>
      </c>
      <c r="K114" s="35" t="str">
        <f aca="false">IF($H114="","",$G114-$H114)</f>
        <v/>
      </c>
      <c r="L114" s="37" t="str">
        <f aca="false">IF(OR($F114="",$G114=""),"",EDATE($F114,ROUND($G114*12,0)))</f>
        <v/>
      </c>
      <c r="M114" s="17" t="str">
        <f aca="false">IF($I114="","",IF($I114&lt;=$H$3,"VERDE",IF($I114&lt;=$J$3,"AMARILLO",IF($I114&lt;1,"NARANJA","ROJO"))))</f>
        <v/>
      </c>
      <c r="N114" s="33"/>
      <c r="O114" s="33"/>
      <c r="P114" s="33"/>
      <c r="Q114" s="38"/>
      <c r="R114" s="17" t="str">
        <f aca="false">IF($I114="","",IF(OR($I114&gt;=1,$P114="SI",AND($I114&gt;=0.81,OR($N114="MALO",$N114="INSERVIBLE"))),"SI","NO"))</f>
        <v/>
      </c>
      <c r="S114" s="38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4"/>
      <c r="G115" s="33"/>
      <c r="H115" s="35" t="str">
        <f aca="false">IF(OR($F115="",$G115=""),"",($B$3-$F115)/365.25)</f>
        <v/>
      </c>
      <c r="I115" s="35" t="str">
        <f aca="false">IF(OR($H115="",$G115=""),"",$H115/$G115)</f>
        <v/>
      </c>
      <c r="J115" s="36" t="str">
        <f aca="false">IF($I115="","",$I115*100)</f>
        <v/>
      </c>
      <c r="K115" s="35" t="str">
        <f aca="false">IF($H115="","",$G115-$H115)</f>
        <v/>
      </c>
      <c r="L115" s="37" t="str">
        <f aca="false">IF(OR($F115="",$G115=""),"",EDATE($F115,ROUND($G115*12,0)))</f>
        <v/>
      </c>
      <c r="M115" s="17" t="str">
        <f aca="false">IF($I115="","",IF($I115&lt;=$H$3,"VERDE",IF($I115&lt;=$J$3,"AMARILLO",IF($I115&lt;1,"NARANJA","ROJO"))))</f>
        <v/>
      </c>
      <c r="N115" s="33"/>
      <c r="O115" s="33"/>
      <c r="P115" s="33"/>
      <c r="Q115" s="38"/>
      <c r="R115" s="17" t="str">
        <f aca="false">IF($I115="","",IF(OR($I115&gt;=1,$P115="SI",AND($I115&gt;=0.81,OR($N115="MALO",$N115="INSERVIBLE"))),"SI","NO"))</f>
        <v/>
      </c>
      <c r="S115" s="38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4"/>
      <c r="G116" s="33"/>
      <c r="H116" s="35" t="str">
        <f aca="false">IF(OR($F116="",$G116=""),"",($B$3-$F116)/365.25)</f>
        <v/>
      </c>
      <c r="I116" s="35" t="str">
        <f aca="false">IF(OR($H116="",$G116=""),"",$H116/$G116)</f>
        <v/>
      </c>
      <c r="J116" s="36" t="str">
        <f aca="false">IF($I116="","",$I116*100)</f>
        <v/>
      </c>
      <c r="K116" s="35" t="str">
        <f aca="false">IF($H116="","",$G116-$H116)</f>
        <v/>
      </c>
      <c r="L116" s="37" t="str">
        <f aca="false">IF(OR($F116="",$G116=""),"",EDATE($F116,ROUND($G116*12,0)))</f>
        <v/>
      </c>
      <c r="M116" s="17" t="str">
        <f aca="false">IF($I116="","",IF($I116&lt;=$H$3,"VERDE",IF($I116&lt;=$J$3,"AMARILLO",IF($I116&lt;1,"NARANJA","ROJO"))))</f>
        <v/>
      </c>
      <c r="N116" s="33"/>
      <c r="O116" s="33"/>
      <c r="P116" s="33"/>
      <c r="Q116" s="38"/>
      <c r="R116" s="17" t="str">
        <f aca="false">IF($I116="","",IF(OR($I116&gt;=1,$P116="SI",AND($I116&gt;=0.81,OR($N116="MALO",$N116="INSERVIBLE"))),"SI","NO"))</f>
        <v/>
      </c>
      <c r="S116" s="38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4"/>
      <c r="G117" s="33"/>
      <c r="H117" s="35" t="str">
        <f aca="false">IF(OR($F117="",$G117=""),"",($B$3-$F117)/365.25)</f>
        <v/>
      </c>
      <c r="I117" s="35" t="str">
        <f aca="false">IF(OR($H117="",$G117=""),"",$H117/$G117)</f>
        <v/>
      </c>
      <c r="J117" s="36" t="str">
        <f aca="false">IF($I117="","",$I117*100)</f>
        <v/>
      </c>
      <c r="K117" s="35" t="str">
        <f aca="false">IF($H117="","",$G117-$H117)</f>
        <v/>
      </c>
      <c r="L117" s="37" t="str">
        <f aca="false">IF(OR($F117="",$G117=""),"",EDATE($F117,ROUND($G117*12,0)))</f>
        <v/>
      </c>
      <c r="M117" s="17" t="str">
        <f aca="false">IF($I117="","",IF($I117&lt;=$H$3,"VERDE",IF($I117&lt;=$J$3,"AMARILLO",IF($I117&lt;1,"NARANJA","ROJO"))))</f>
        <v/>
      </c>
      <c r="N117" s="33"/>
      <c r="O117" s="33"/>
      <c r="P117" s="33"/>
      <c r="Q117" s="38"/>
      <c r="R117" s="17" t="str">
        <f aca="false">IF($I117="","",IF(OR($I117&gt;=1,$P117="SI",AND($I117&gt;=0.81,OR($N117="MALO",$N117="INSERVIBLE"))),"SI","NO"))</f>
        <v/>
      </c>
      <c r="S117" s="38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4"/>
      <c r="G118" s="33"/>
      <c r="H118" s="35" t="str">
        <f aca="false">IF(OR($F118="",$G118=""),"",($B$3-$F118)/365.25)</f>
        <v/>
      </c>
      <c r="I118" s="35" t="str">
        <f aca="false">IF(OR($H118="",$G118=""),"",$H118/$G118)</f>
        <v/>
      </c>
      <c r="J118" s="36" t="str">
        <f aca="false">IF($I118="","",$I118*100)</f>
        <v/>
      </c>
      <c r="K118" s="35" t="str">
        <f aca="false">IF($H118="","",$G118-$H118)</f>
        <v/>
      </c>
      <c r="L118" s="37" t="str">
        <f aca="false">IF(OR($F118="",$G118=""),"",EDATE($F118,ROUND($G118*12,0)))</f>
        <v/>
      </c>
      <c r="M118" s="17" t="str">
        <f aca="false">IF($I118="","",IF($I118&lt;=$H$3,"VERDE",IF($I118&lt;=$J$3,"AMARILLO",IF($I118&lt;1,"NARANJA","ROJO"))))</f>
        <v/>
      </c>
      <c r="N118" s="33"/>
      <c r="O118" s="33"/>
      <c r="P118" s="33"/>
      <c r="Q118" s="38"/>
      <c r="R118" s="17" t="str">
        <f aca="false">IF($I118="","",IF(OR($I118&gt;=1,$P118="SI",AND($I118&gt;=0.81,OR($N118="MALO",$N118="INSERVIBLE"))),"SI","NO"))</f>
        <v/>
      </c>
      <c r="S118" s="38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4"/>
      <c r="G119" s="33"/>
      <c r="H119" s="35" t="str">
        <f aca="false">IF(OR($F119="",$G119=""),"",($B$3-$F119)/365.25)</f>
        <v/>
      </c>
      <c r="I119" s="35" t="str">
        <f aca="false">IF(OR($H119="",$G119=""),"",$H119/$G119)</f>
        <v/>
      </c>
      <c r="J119" s="36" t="str">
        <f aca="false">IF($I119="","",$I119*100)</f>
        <v/>
      </c>
      <c r="K119" s="35" t="str">
        <f aca="false">IF($H119="","",$G119-$H119)</f>
        <v/>
      </c>
      <c r="L119" s="37" t="str">
        <f aca="false">IF(OR($F119="",$G119=""),"",EDATE($F119,ROUND($G119*12,0)))</f>
        <v/>
      </c>
      <c r="M119" s="17" t="str">
        <f aca="false">IF($I119="","",IF($I119&lt;=$H$3,"VERDE",IF($I119&lt;=$J$3,"AMARILLO",IF($I119&lt;1,"NARANJA","ROJO"))))</f>
        <v/>
      </c>
      <c r="N119" s="33"/>
      <c r="O119" s="33"/>
      <c r="P119" s="33"/>
      <c r="Q119" s="38"/>
      <c r="R119" s="17" t="str">
        <f aca="false">IF($I119="","",IF(OR($I119&gt;=1,$P119="SI",AND($I119&gt;=0.81,OR($N119="MALO",$N119="INSERVIBLE"))),"SI","NO"))</f>
        <v/>
      </c>
      <c r="S119" s="38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4"/>
      <c r="G120" s="33"/>
      <c r="H120" s="35" t="str">
        <f aca="false">IF(OR($F120="",$G120=""),"",($B$3-$F120)/365.25)</f>
        <v/>
      </c>
      <c r="I120" s="35" t="str">
        <f aca="false">IF(OR($H120="",$G120=""),"",$H120/$G120)</f>
        <v/>
      </c>
      <c r="J120" s="36" t="str">
        <f aca="false">IF($I120="","",$I120*100)</f>
        <v/>
      </c>
      <c r="K120" s="35" t="str">
        <f aca="false">IF($H120="","",$G120-$H120)</f>
        <v/>
      </c>
      <c r="L120" s="37" t="str">
        <f aca="false">IF(OR($F120="",$G120=""),"",EDATE($F120,ROUND($G120*12,0)))</f>
        <v/>
      </c>
      <c r="M120" s="17" t="str">
        <f aca="false">IF($I120="","",IF($I120&lt;=$H$3,"VERDE",IF($I120&lt;=$J$3,"AMARILLO",IF($I120&lt;1,"NARANJA","ROJO"))))</f>
        <v/>
      </c>
      <c r="N120" s="33"/>
      <c r="O120" s="33"/>
      <c r="P120" s="33"/>
      <c r="Q120" s="38"/>
      <c r="R120" s="17" t="str">
        <f aca="false">IF($I120="","",IF(OR($I120&gt;=1,$P120="SI",AND($I120&gt;=0.81,OR($N120="MALO",$N120="INSERVIBLE"))),"SI","NO"))</f>
        <v/>
      </c>
      <c r="S120" s="38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4"/>
      <c r="G121" s="33"/>
      <c r="H121" s="35" t="str">
        <f aca="false">IF(OR($F121="",$G121=""),"",($B$3-$F121)/365.25)</f>
        <v/>
      </c>
      <c r="I121" s="35" t="str">
        <f aca="false">IF(OR($H121="",$G121=""),"",$H121/$G121)</f>
        <v/>
      </c>
      <c r="J121" s="36" t="str">
        <f aca="false">IF($I121="","",$I121*100)</f>
        <v/>
      </c>
      <c r="K121" s="35" t="str">
        <f aca="false">IF($H121="","",$G121-$H121)</f>
        <v/>
      </c>
      <c r="L121" s="37" t="str">
        <f aca="false">IF(OR($F121="",$G121=""),"",EDATE($F121,ROUND($G121*12,0)))</f>
        <v/>
      </c>
      <c r="M121" s="17" t="str">
        <f aca="false">IF($I121="","",IF($I121&lt;=$H$3,"VERDE",IF($I121&lt;=$J$3,"AMARILLO",IF($I121&lt;1,"NARANJA","ROJO"))))</f>
        <v/>
      </c>
      <c r="N121" s="33"/>
      <c r="O121" s="33"/>
      <c r="P121" s="33"/>
      <c r="Q121" s="38"/>
      <c r="R121" s="17" t="str">
        <f aca="false">IF($I121="","",IF(OR($I121&gt;=1,$P121="SI",AND($I121&gt;=0.81,OR($N121="MALO",$N121="INSERVIBLE"))),"SI","NO"))</f>
        <v/>
      </c>
      <c r="S121" s="38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4"/>
      <c r="G122" s="33"/>
      <c r="H122" s="35" t="str">
        <f aca="false">IF(OR($F122="",$G122=""),"",($B$3-$F122)/365.25)</f>
        <v/>
      </c>
      <c r="I122" s="35" t="str">
        <f aca="false">IF(OR($H122="",$G122=""),"",$H122/$G122)</f>
        <v/>
      </c>
      <c r="J122" s="36" t="str">
        <f aca="false">IF($I122="","",$I122*100)</f>
        <v/>
      </c>
      <c r="K122" s="35" t="str">
        <f aca="false">IF($H122="","",$G122-$H122)</f>
        <v/>
      </c>
      <c r="L122" s="37" t="str">
        <f aca="false">IF(OR($F122="",$G122=""),"",EDATE($F122,ROUND($G122*12,0)))</f>
        <v/>
      </c>
      <c r="M122" s="17" t="str">
        <f aca="false">IF($I122="","",IF($I122&lt;=$H$3,"VERDE",IF($I122&lt;=$J$3,"AMARILLO",IF($I122&lt;1,"NARANJA","ROJO"))))</f>
        <v/>
      </c>
      <c r="N122" s="33"/>
      <c r="O122" s="33"/>
      <c r="P122" s="33"/>
      <c r="Q122" s="38"/>
      <c r="R122" s="17" t="str">
        <f aca="false">IF($I122="","",IF(OR($I122&gt;=1,$P122="SI",AND($I122&gt;=0.81,OR($N122="MALO",$N122="INSERVIBLE"))),"SI","NO"))</f>
        <v/>
      </c>
      <c r="S122" s="38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4"/>
      <c r="G123" s="33"/>
      <c r="H123" s="35" t="str">
        <f aca="false">IF(OR($F123="",$G123=""),"",($B$3-$F123)/365.25)</f>
        <v/>
      </c>
      <c r="I123" s="35" t="str">
        <f aca="false">IF(OR($H123="",$G123=""),"",$H123/$G123)</f>
        <v/>
      </c>
      <c r="J123" s="36" t="str">
        <f aca="false">IF($I123="","",$I123*100)</f>
        <v/>
      </c>
      <c r="K123" s="35" t="str">
        <f aca="false">IF($H123="","",$G123-$H123)</f>
        <v/>
      </c>
      <c r="L123" s="37" t="str">
        <f aca="false">IF(OR($F123="",$G123=""),"",EDATE($F123,ROUND($G123*12,0)))</f>
        <v/>
      </c>
      <c r="M123" s="17" t="str">
        <f aca="false">IF($I123="","",IF($I123&lt;=$H$3,"VERDE",IF($I123&lt;=$J$3,"AMARILLO",IF($I123&lt;1,"NARANJA","ROJO"))))</f>
        <v/>
      </c>
      <c r="N123" s="33"/>
      <c r="O123" s="33"/>
      <c r="P123" s="33"/>
      <c r="Q123" s="38"/>
      <c r="R123" s="17" t="str">
        <f aca="false">IF($I123="","",IF(OR($I123&gt;=1,$P123="SI",AND($I123&gt;=0.81,OR($N123="MALO",$N123="INSERVIBLE"))),"SI","NO"))</f>
        <v/>
      </c>
      <c r="S123" s="38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4"/>
      <c r="G124" s="33"/>
      <c r="H124" s="35" t="str">
        <f aca="false">IF(OR($F124="",$G124=""),"",($B$3-$F124)/365.25)</f>
        <v/>
      </c>
      <c r="I124" s="35" t="str">
        <f aca="false">IF(OR($H124="",$G124=""),"",$H124/$G124)</f>
        <v/>
      </c>
      <c r="J124" s="36" t="str">
        <f aca="false">IF($I124="","",$I124*100)</f>
        <v/>
      </c>
      <c r="K124" s="35" t="str">
        <f aca="false">IF($H124="","",$G124-$H124)</f>
        <v/>
      </c>
      <c r="L124" s="37" t="str">
        <f aca="false">IF(OR($F124="",$G124=""),"",EDATE($F124,ROUND($G124*12,0)))</f>
        <v/>
      </c>
      <c r="M124" s="17" t="str">
        <f aca="false">IF($I124="","",IF($I124&lt;=$H$3,"VERDE",IF($I124&lt;=$J$3,"AMARILLO",IF($I124&lt;1,"NARANJA","ROJO"))))</f>
        <v/>
      </c>
      <c r="N124" s="33"/>
      <c r="O124" s="33"/>
      <c r="P124" s="33"/>
      <c r="Q124" s="38"/>
      <c r="R124" s="17" t="str">
        <f aca="false">IF($I124="","",IF(OR($I124&gt;=1,$P124="SI",AND($I124&gt;=0.81,OR($N124="MALO",$N124="INSERVIBLE"))),"SI","NO"))</f>
        <v/>
      </c>
      <c r="S124" s="38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4"/>
      <c r="G125" s="33"/>
      <c r="H125" s="35" t="str">
        <f aca="false">IF(OR($F125="",$G125=""),"",($B$3-$F125)/365.25)</f>
        <v/>
      </c>
      <c r="I125" s="35" t="str">
        <f aca="false">IF(OR($H125="",$G125=""),"",$H125/$G125)</f>
        <v/>
      </c>
      <c r="J125" s="36" t="str">
        <f aca="false">IF($I125="","",$I125*100)</f>
        <v/>
      </c>
      <c r="K125" s="35" t="str">
        <f aca="false">IF($H125="","",$G125-$H125)</f>
        <v/>
      </c>
      <c r="L125" s="37" t="str">
        <f aca="false">IF(OR($F125="",$G125=""),"",EDATE($F125,ROUND($G125*12,0)))</f>
        <v/>
      </c>
      <c r="M125" s="17" t="str">
        <f aca="false">IF($I125="","",IF($I125&lt;=$H$3,"VERDE",IF($I125&lt;=$J$3,"AMARILLO",IF($I125&lt;1,"NARANJA","ROJO"))))</f>
        <v/>
      </c>
      <c r="N125" s="33"/>
      <c r="O125" s="33"/>
      <c r="P125" s="33"/>
      <c r="Q125" s="38"/>
      <c r="R125" s="17" t="str">
        <f aca="false">IF($I125="","",IF(OR($I125&gt;=1,$P125="SI",AND($I125&gt;=0.81,OR($N125="MALO",$N125="INSERVIBLE"))),"SI","NO"))</f>
        <v/>
      </c>
      <c r="S125" s="38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4"/>
      <c r="G126" s="33"/>
      <c r="H126" s="35" t="str">
        <f aca="false">IF(OR($F126="",$G126=""),"",($B$3-$F126)/365.25)</f>
        <v/>
      </c>
      <c r="I126" s="35" t="str">
        <f aca="false">IF(OR($H126="",$G126=""),"",$H126/$G126)</f>
        <v/>
      </c>
      <c r="J126" s="36" t="str">
        <f aca="false">IF($I126="","",$I126*100)</f>
        <v/>
      </c>
      <c r="K126" s="35" t="str">
        <f aca="false">IF($H126="","",$G126-$H126)</f>
        <v/>
      </c>
      <c r="L126" s="37" t="str">
        <f aca="false">IF(OR($F126="",$G126=""),"",EDATE($F126,ROUND($G126*12,0)))</f>
        <v/>
      </c>
      <c r="M126" s="17" t="str">
        <f aca="false">IF($I126="","",IF($I126&lt;=$H$3,"VERDE",IF($I126&lt;=$J$3,"AMARILLO",IF($I126&lt;1,"NARANJA","ROJO"))))</f>
        <v/>
      </c>
      <c r="N126" s="33"/>
      <c r="O126" s="33"/>
      <c r="P126" s="33"/>
      <c r="Q126" s="38"/>
      <c r="R126" s="17" t="str">
        <f aca="false">IF($I126="","",IF(OR($I126&gt;=1,$P126="SI",AND($I126&gt;=0.81,OR($N126="MALO",$N126="INSERVIBLE"))),"SI","NO"))</f>
        <v/>
      </c>
      <c r="S126" s="38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4"/>
      <c r="G127" s="33"/>
      <c r="H127" s="35" t="str">
        <f aca="false">IF(OR($F127="",$G127=""),"",($B$3-$F127)/365.25)</f>
        <v/>
      </c>
      <c r="I127" s="35" t="str">
        <f aca="false">IF(OR($H127="",$G127=""),"",$H127/$G127)</f>
        <v/>
      </c>
      <c r="J127" s="36" t="str">
        <f aca="false">IF($I127="","",$I127*100)</f>
        <v/>
      </c>
      <c r="K127" s="35" t="str">
        <f aca="false">IF($H127="","",$G127-$H127)</f>
        <v/>
      </c>
      <c r="L127" s="37" t="str">
        <f aca="false">IF(OR($F127="",$G127=""),"",EDATE($F127,ROUND($G127*12,0)))</f>
        <v/>
      </c>
      <c r="M127" s="17" t="str">
        <f aca="false">IF($I127="","",IF($I127&lt;=$H$3,"VERDE",IF($I127&lt;=$J$3,"AMARILLO",IF($I127&lt;1,"NARANJA","ROJO"))))</f>
        <v/>
      </c>
      <c r="N127" s="33"/>
      <c r="O127" s="33"/>
      <c r="P127" s="33"/>
      <c r="Q127" s="38"/>
      <c r="R127" s="17" t="str">
        <f aca="false">IF($I127="","",IF(OR($I127&gt;=1,$P127="SI",AND($I127&gt;=0.81,OR($N127="MALO",$N127="INSERVIBLE"))),"SI","NO"))</f>
        <v/>
      </c>
      <c r="S127" s="38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4"/>
      <c r="G128" s="33"/>
      <c r="H128" s="35" t="str">
        <f aca="false">IF(OR($F128="",$G128=""),"",($B$3-$F128)/365.25)</f>
        <v/>
      </c>
      <c r="I128" s="35" t="str">
        <f aca="false">IF(OR($H128="",$G128=""),"",$H128/$G128)</f>
        <v/>
      </c>
      <c r="J128" s="36" t="str">
        <f aca="false">IF($I128="","",$I128*100)</f>
        <v/>
      </c>
      <c r="K128" s="35" t="str">
        <f aca="false">IF($H128="","",$G128-$H128)</f>
        <v/>
      </c>
      <c r="L128" s="37" t="str">
        <f aca="false">IF(OR($F128="",$G128=""),"",EDATE($F128,ROUND($G128*12,0)))</f>
        <v/>
      </c>
      <c r="M128" s="17" t="str">
        <f aca="false">IF($I128="","",IF($I128&lt;=$H$3,"VERDE",IF($I128&lt;=$J$3,"AMARILLO",IF($I128&lt;1,"NARANJA","ROJO"))))</f>
        <v/>
      </c>
      <c r="N128" s="33"/>
      <c r="O128" s="33"/>
      <c r="P128" s="33"/>
      <c r="Q128" s="38"/>
      <c r="R128" s="17" t="str">
        <f aca="false">IF($I128="","",IF(OR($I128&gt;=1,$P128="SI",AND($I128&gt;=0.81,OR($N128="MALO",$N128="INSERVIBLE"))),"SI","NO"))</f>
        <v/>
      </c>
      <c r="S128" s="38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4"/>
      <c r="G129" s="33"/>
      <c r="H129" s="35" t="str">
        <f aca="false">IF(OR($F129="",$G129=""),"",($B$3-$F129)/365.25)</f>
        <v/>
      </c>
      <c r="I129" s="35" t="str">
        <f aca="false">IF(OR($H129="",$G129=""),"",$H129/$G129)</f>
        <v/>
      </c>
      <c r="J129" s="36" t="str">
        <f aca="false">IF($I129="","",$I129*100)</f>
        <v/>
      </c>
      <c r="K129" s="35" t="str">
        <f aca="false">IF($H129="","",$G129-$H129)</f>
        <v/>
      </c>
      <c r="L129" s="37" t="str">
        <f aca="false">IF(OR($F129="",$G129=""),"",EDATE($F129,ROUND($G129*12,0)))</f>
        <v/>
      </c>
      <c r="M129" s="17" t="str">
        <f aca="false">IF($I129="","",IF($I129&lt;=$H$3,"VERDE",IF($I129&lt;=$J$3,"AMARILLO",IF($I129&lt;1,"NARANJA","ROJO"))))</f>
        <v/>
      </c>
      <c r="N129" s="33"/>
      <c r="O129" s="33"/>
      <c r="P129" s="33"/>
      <c r="Q129" s="38"/>
      <c r="R129" s="17" t="str">
        <f aca="false">IF($I129="","",IF(OR($I129&gt;=1,$P129="SI",AND($I129&gt;=0.81,OR($N129="MALO",$N129="INSERVIBLE"))),"SI","NO"))</f>
        <v/>
      </c>
      <c r="S129" s="38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4"/>
      <c r="G130" s="33"/>
      <c r="H130" s="35" t="str">
        <f aca="false">IF(OR($F130="",$G130=""),"",($B$3-$F130)/365.25)</f>
        <v/>
      </c>
      <c r="I130" s="35" t="str">
        <f aca="false">IF(OR($H130="",$G130=""),"",$H130/$G130)</f>
        <v/>
      </c>
      <c r="J130" s="36" t="str">
        <f aca="false">IF($I130="","",$I130*100)</f>
        <v/>
      </c>
      <c r="K130" s="35" t="str">
        <f aca="false">IF($H130="","",$G130-$H130)</f>
        <v/>
      </c>
      <c r="L130" s="37" t="str">
        <f aca="false">IF(OR($F130="",$G130=""),"",EDATE($F130,ROUND($G130*12,0)))</f>
        <v/>
      </c>
      <c r="M130" s="17" t="str">
        <f aca="false">IF($I130="","",IF($I130&lt;=$H$3,"VERDE",IF($I130&lt;=$J$3,"AMARILLO",IF($I130&lt;1,"NARANJA","ROJO"))))</f>
        <v/>
      </c>
      <c r="N130" s="33"/>
      <c r="O130" s="33"/>
      <c r="P130" s="33"/>
      <c r="Q130" s="38"/>
      <c r="R130" s="17" t="str">
        <f aca="false">IF($I130="","",IF(OR($I130&gt;=1,$P130="SI",AND($I130&gt;=0.81,OR($N130="MALO",$N130="INSERVIBLE"))),"SI","NO"))</f>
        <v/>
      </c>
      <c r="S130" s="38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4"/>
      <c r="G131" s="33"/>
      <c r="H131" s="35" t="str">
        <f aca="false">IF(OR($F131="",$G131=""),"",($B$3-$F131)/365.25)</f>
        <v/>
      </c>
      <c r="I131" s="35" t="str">
        <f aca="false">IF(OR($H131="",$G131=""),"",$H131/$G131)</f>
        <v/>
      </c>
      <c r="J131" s="36" t="str">
        <f aca="false">IF($I131="","",$I131*100)</f>
        <v/>
      </c>
      <c r="K131" s="35" t="str">
        <f aca="false">IF($H131="","",$G131-$H131)</f>
        <v/>
      </c>
      <c r="L131" s="37" t="str">
        <f aca="false">IF(OR($F131="",$G131=""),"",EDATE($F131,ROUND($G131*12,0)))</f>
        <v/>
      </c>
      <c r="M131" s="17" t="str">
        <f aca="false">IF($I131="","",IF($I131&lt;=$H$3,"VERDE",IF($I131&lt;=$J$3,"AMARILLO",IF($I131&lt;1,"NARANJA","ROJO"))))</f>
        <v/>
      </c>
      <c r="N131" s="33"/>
      <c r="O131" s="33"/>
      <c r="P131" s="33"/>
      <c r="Q131" s="38"/>
      <c r="R131" s="17" t="str">
        <f aca="false">IF($I131="","",IF(OR($I131&gt;=1,$P131="SI",AND($I131&gt;=0.81,OR($N131="MALO",$N131="INSERVIBLE"))),"SI","NO"))</f>
        <v/>
      </c>
      <c r="S131" s="38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4"/>
      <c r="G132" s="33"/>
      <c r="H132" s="35" t="str">
        <f aca="false">IF(OR($F132="",$G132=""),"",($B$3-$F132)/365.25)</f>
        <v/>
      </c>
      <c r="I132" s="35" t="str">
        <f aca="false">IF(OR($H132="",$G132=""),"",$H132/$G132)</f>
        <v/>
      </c>
      <c r="J132" s="36" t="str">
        <f aca="false">IF($I132="","",$I132*100)</f>
        <v/>
      </c>
      <c r="K132" s="35" t="str">
        <f aca="false">IF($H132="","",$G132-$H132)</f>
        <v/>
      </c>
      <c r="L132" s="37" t="str">
        <f aca="false">IF(OR($F132="",$G132=""),"",EDATE($F132,ROUND($G132*12,0)))</f>
        <v/>
      </c>
      <c r="M132" s="17" t="str">
        <f aca="false">IF($I132="","",IF($I132&lt;=$H$3,"VERDE",IF($I132&lt;=$J$3,"AMARILLO",IF($I132&lt;1,"NARANJA","ROJO"))))</f>
        <v/>
      </c>
      <c r="N132" s="33"/>
      <c r="O132" s="33"/>
      <c r="P132" s="33"/>
      <c r="Q132" s="38"/>
      <c r="R132" s="17" t="str">
        <f aca="false">IF($I132="","",IF(OR($I132&gt;=1,$P132="SI",AND($I132&gt;=0.81,OR($N132="MALO",$N132="INSERVIBLE"))),"SI","NO"))</f>
        <v/>
      </c>
      <c r="S132" s="38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4"/>
      <c r="G133" s="33"/>
      <c r="H133" s="35" t="str">
        <f aca="false">IF(OR($F133="",$G133=""),"",($B$3-$F133)/365.25)</f>
        <v/>
      </c>
      <c r="I133" s="35" t="str">
        <f aca="false">IF(OR($H133="",$G133=""),"",$H133/$G133)</f>
        <v/>
      </c>
      <c r="J133" s="36" t="str">
        <f aca="false">IF($I133="","",$I133*100)</f>
        <v/>
      </c>
      <c r="K133" s="35" t="str">
        <f aca="false">IF($H133="","",$G133-$H133)</f>
        <v/>
      </c>
      <c r="L133" s="37" t="str">
        <f aca="false">IF(OR($F133="",$G133=""),"",EDATE($F133,ROUND($G133*12,0)))</f>
        <v/>
      </c>
      <c r="M133" s="17" t="str">
        <f aca="false">IF($I133="","",IF($I133&lt;=$H$3,"VERDE",IF($I133&lt;=$J$3,"AMARILLO",IF($I133&lt;1,"NARANJA","ROJO"))))</f>
        <v/>
      </c>
      <c r="N133" s="33"/>
      <c r="O133" s="33"/>
      <c r="P133" s="33"/>
      <c r="Q133" s="38"/>
      <c r="R133" s="17" t="str">
        <f aca="false">IF($I133="","",IF(OR($I133&gt;=1,$P133="SI",AND($I133&gt;=0.81,OR($N133="MALO",$N133="INSERVIBLE"))),"SI","NO"))</f>
        <v/>
      </c>
      <c r="S133" s="38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4"/>
      <c r="G134" s="33"/>
      <c r="H134" s="35" t="str">
        <f aca="false">IF(OR($F134="",$G134=""),"",($B$3-$F134)/365.25)</f>
        <v/>
      </c>
      <c r="I134" s="35" t="str">
        <f aca="false">IF(OR($H134="",$G134=""),"",$H134/$G134)</f>
        <v/>
      </c>
      <c r="J134" s="36" t="str">
        <f aca="false">IF($I134="","",$I134*100)</f>
        <v/>
      </c>
      <c r="K134" s="35" t="str">
        <f aca="false">IF($H134="","",$G134-$H134)</f>
        <v/>
      </c>
      <c r="L134" s="37" t="str">
        <f aca="false">IF(OR($F134="",$G134=""),"",EDATE($F134,ROUND($G134*12,0)))</f>
        <v/>
      </c>
      <c r="M134" s="17" t="str">
        <f aca="false">IF($I134="","",IF($I134&lt;=$H$3,"VERDE",IF($I134&lt;=$J$3,"AMARILLO",IF($I134&lt;1,"NARANJA","ROJO"))))</f>
        <v/>
      </c>
      <c r="N134" s="33"/>
      <c r="O134" s="33"/>
      <c r="P134" s="33"/>
      <c r="Q134" s="38"/>
      <c r="R134" s="17" t="str">
        <f aca="false">IF($I134="","",IF(OR($I134&gt;=1,$P134="SI",AND($I134&gt;=0.81,OR($N134="MALO",$N134="INSERVIBLE"))),"SI","NO"))</f>
        <v/>
      </c>
      <c r="S134" s="38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4"/>
      <c r="G135" s="33"/>
      <c r="H135" s="35" t="str">
        <f aca="false">IF(OR($F135="",$G135=""),"",($B$3-$F135)/365.25)</f>
        <v/>
      </c>
      <c r="I135" s="35" t="str">
        <f aca="false">IF(OR($H135="",$G135=""),"",$H135/$G135)</f>
        <v/>
      </c>
      <c r="J135" s="36" t="str">
        <f aca="false">IF($I135="","",$I135*100)</f>
        <v/>
      </c>
      <c r="K135" s="35" t="str">
        <f aca="false">IF($H135="","",$G135-$H135)</f>
        <v/>
      </c>
      <c r="L135" s="37" t="str">
        <f aca="false">IF(OR($F135="",$G135=""),"",EDATE($F135,ROUND($G135*12,0)))</f>
        <v/>
      </c>
      <c r="M135" s="17" t="str">
        <f aca="false">IF($I135="","",IF($I135&lt;=$H$3,"VERDE",IF($I135&lt;=$J$3,"AMARILLO",IF($I135&lt;1,"NARANJA","ROJO"))))</f>
        <v/>
      </c>
      <c r="N135" s="33"/>
      <c r="O135" s="33"/>
      <c r="P135" s="33"/>
      <c r="Q135" s="38"/>
      <c r="R135" s="17" t="str">
        <f aca="false">IF($I135="","",IF(OR($I135&gt;=1,$P135="SI",AND($I135&gt;=0.81,OR($N135="MALO",$N135="INSERVIBLE"))),"SI","NO"))</f>
        <v/>
      </c>
      <c r="S135" s="38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4"/>
      <c r="G136" s="33"/>
      <c r="H136" s="35" t="str">
        <f aca="false">IF(OR($F136="",$G136=""),"",($B$3-$F136)/365.25)</f>
        <v/>
      </c>
      <c r="I136" s="35" t="str">
        <f aca="false">IF(OR($H136="",$G136=""),"",$H136/$G136)</f>
        <v/>
      </c>
      <c r="J136" s="36" t="str">
        <f aca="false">IF($I136="","",$I136*100)</f>
        <v/>
      </c>
      <c r="K136" s="35" t="str">
        <f aca="false">IF($H136="","",$G136-$H136)</f>
        <v/>
      </c>
      <c r="L136" s="37" t="str">
        <f aca="false">IF(OR($F136="",$G136=""),"",EDATE($F136,ROUND($G136*12,0)))</f>
        <v/>
      </c>
      <c r="M136" s="17" t="str">
        <f aca="false">IF($I136="","",IF($I136&lt;=$H$3,"VERDE",IF($I136&lt;=$J$3,"AMARILLO",IF($I136&lt;1,"NARANJA","ROJO"))))</f>
        <v/>
      </c>
      <c r="N136" s="33"/>
      <c r="O136" s="33"/>
      <c r="P136" s="33"/>
      <c r="Q136" s="38"/>
      <c r="R136" s="17" t="str">
        <f aca="false">IF($I136="","",IF(OR($I136&gt;=1,$P136="SI",AND($I136&gt;=0.81,OR($N136="MALO",$N136="INSERVIBLE"))),"SI","NO"))</f>
        <v/>
      </c>
      <c r="S136" s="38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4"/>
      <c r="G137" s="33"/>
      <c r="H137" s="35" t="str">
        <f aca="false">IF(OR($F137="",$G137=""),"",($B$3-$F137)/365.25)</f>
        <v/>
      </c>
      <c r="I137" s="35" t="str">
        <f aca="false">IF(OR($H137="",$G137=""),"",$H137/$G137)</f>
        <v/>
      </c>
      <c r="J137" s="36" t="str">
        <f aca="false">IF($I137="","",$I137*100)</f>
        <v/>
      </c>
      <c r="K137" s="35" t="str">
        <f aca="false">IF($H137="","",$G137-$H137)</f>
        <v/>
      </c>
      <c r="L137" s="37" t="str">
        <f aca="false">IF(OR($F137="",$G137=""),"",EDATE($F137,ROUND($G137*12,0)))</f>
        <v/>
      </c>
      <c r="M137" s="17" t="str">
        <f aca="false">IF($I137="","",IF($I137&lt;=$H$3,"VERDE",IF($I137&lt;=$J$3,"AMARILLO",IF($I137&lt;1,"NARANJA","ROJO"))))</f>
        <v/>
      </c>
      <c r="N137" s="33"/>
      <c r="O137" s="33"/>
      <c r="P137" s="33"/>
      <c r="Q137" s="38"/>
      <c r="R137" s="17" t="str">
        <f aca="false">IF($I137="","",IF(OR($I137&gt;=1,$P137="SI",AND($I137&gt;=0.81,OR($N137="MALO",$N137="INSERVIBLE"))),"SI","NO"))</f>
        <v/>
      </c>
      <c r="S137" s="38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4"/>
      <c r="G138" s="33"/>
      <c r="H138" s="35" t="str">
        <f aca="false">IF(OR($F138="",$G138=""),"",($B$3-$F138)/365.25)</f>
        <v/>
      </c>
      <c r="I138" s="35" t="str">
        <f aca="false">IF(OR($H138="",$G138=""),"",$H138/$G138)</f>
        <v/>
      </c>
      <c r="J138" s="36" t="str">
        <f aca="false">IF($I138="","",$I138*100)</f>
        <v/>
      </c>
      <c r="K138" s="35" t="str">
        <f aca="false">IF($H138="","",$G138-$H138)</f>
        <v/>
      </c>
      <c r="L138" s="37" t="str">
        <f aca="false">IF(OR($F138="",$G138=""),"",EDATE($F138,ROUND($G138*12,0)))</f>
        <v/>
      </c>
      <c r="M138" s="17" t="str">
        <f aca="false">IF($I138="","",IF($I138&lt;=$H$3,"VERDE",IF($I138&lt;=$J$3,"AMARILLO",IF($I138&lt;1,"NARANJA","ROJO"))))</f>
        <v/>
      </c>
      <c r="N138" s="33"/>
      <c r="O138" s="33"/>
      <c r="P138" s="33"/>
      <c r="Q138" s="38"/>
      <c r="R138" s="17" t="str">
        <f aca="false">IF($I138="","",IF(OR($I138&gt;=1,$P138="SI",AND($I138&gt;=0.81,OR($N138="MALO",$N138="INSERVIBLE"))),"SI","NO"))</f>
        <v/>
      </c>
      <c r="S138" s="38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4"/>
      <c r="G139" s="33"/>
      <c r="H139" s="35" t="str">
        <f aca="false">IF(OR($F139="",$G139=""),"",($B$3-$F139)/365.25)</f>
        <v/>
      </c>
      <c r="I139" s="35" t="str">
        <f aca="false">IF(OR($H139="",$G139=""),"",$H139/$G139)</f>
        <v/>
      </c>
      <c r="J139" s="36" t="str">
        <f aca="false">IF($I139="","",$I139*100)</f>
        <v/>
      </c>
      <c r="K139" s="35" t="str">
        <f aca="false">IF($H139="","",$G139-$H139)</f>
        <v/>
      </c>
      <c r="L139" s="37" t="str">
        <f aca="false">IF(OR($F139="",$G139=""),"",EDATE($F139,ROUND($G139*12,0)))</f>
        <v/>
      </c>
      <c r="M139" s="17" t="str">
        <f aca="false">IF($I139="","",IF($I139&lt;=$H$3,"VERDE",IF($I139&lt;=$J$3,"AMARILLO",IF($I139&lt;1,"NARANJA","ROJO"))))</f>
        <v/>
      </c>
      <c r="N139" s="33"/>
      <c r="O139" s="33"/>
      <c r="P139" s="33"/>
      <c r="Q139" s="38"/>
      <c r="R139" s="17" t="str">
        <f aca="false">IF($I139="","",IF(OR($I139&gt;=1,$P139="SI",AND($I139&gt;=0.81,OR($N139="MALO",$N139="INSERVIBLE"))),"SI","NO"))</f>
        <v/>
      </c>
      <c r="S139" s="38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4"/>
      <c r="G140" s="33"/>
      <c r="H140" s="35" t="str">
        <f aca="false">IF(OR($F140="",$G140=""),"",($B$3-$F140)/365.25)</f>
        <v/>
      </c>
      <c r="I140" s="35" t="str">
        <f aca="false">IF(OR($H140="",$G140=""),"",$H140/$G140)</f>
        <v/>
      </c>
      <c r="J140" s="36" t="str">
        <f aca="false">IF($I140="","",$I140*100)</f>
        <v/>
      </c>
      <c r="K140" s="35" t="str">
        <f aca="false">IF($H140="","",$G140-$H140)</f>
        <v/>
      </c>
      <c r="L140" s="37" t="str">
        <f aca="false">IF(OR($F140="",$G140=""),"",EDATE($F140,ROUND($G140*12,0)))</f>
        <v/>
      </c>
      <c r="M140" s="17" t="str">
        <f aca="false">IF($I140="","",IF($I140&lt;=$H$3,"VERDE",IF($I140&lt;=$J$3,"AMARILLO",IF($I140&lt;1,"NARANJA","ROJO"))))</f>
        <v/>
      </c>
      <c r="N140" s="33"/>
      <c r="O140" s="33"/>
      <c r="P140" s="33"/>
      <c r="Q140" s="38"/>
      <c r="R140" s="17" t="str">
        <f aca="false">IF($I140="","",IF(OR($I140&gt;=1,$P140="SI",AND($I140&gt;=0.81,OR($N140="MALO",$N140="INSERVIBLE"))),"SI","NO"))</f>
        <v/>
      </c>
      <c r="S140" s="38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4"/>
      <c r="G141" s="33"/>
      <c r="H141" s="35" t="str">
        <f aca="false">IF(OR($F141="",$G141=""),"",($B$3-$F141)/365.25)</f>
        <v/>
      </c>
      <c r="I141" s="35" t="str">
        <f aca="false">IF(OR($H141="",$G141=""),"",$H141/$G141)</f>
        <v/>
      </c>
      <c r="J141" s="36" t="str">
        <f aca="false">IF($I141="","",$I141*100)</f>
        <v/>
      </c>
      <c r="K141" s="35" t="str">
        <f aca="false">IF($H141="","",$G141-$H141)</f>
        <v/>
      </c>
      <c r="L141" s="37" t="str">
        <f aca="false">IF(OR($F141="",$G141=""),"",EDATE($F141,ROUND($G141*12,0)))</f>
        <v/>
      </c>
      <c r="M141" s="17" t="str">
        <f aca="false">IF($I141="","",IF($I141&lt;=$H$3,"VERDE",IF($I141&lt;=$J$3,"AMARILLO",IF($I141&lt;1,"NARANJA","ROJO"))))</f>
        <v/>
      </c>
      <c r="N141" s="33"/>
      <c r="O141" s="33"/>
      <c r="P141" s="33"/>
      <c r="Q141" s="38"/>
      <c r="R141" s="17" t="str">
        <f aca="false">IF($I141="","",IF(OR($I141&gt;=1,$P141="SI",AND($I141&gt;=0.81,OR($N141="MALO",$N141="INSERVIBLE"))),"SI","NO"))</f>
        <v/>
      </c>
      <c r="S141" s="38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4"/>
      <c r="G142" s="33"/>
      <c r="H142" s="35" t="str">
        <f aca="false">IF(OR($F142="",$G142=""),"",($B$3-$F142)/365.25)</f>
        <v/>
      </c>
      <c r="I142" s="35" t="str">
        <f aca="false">IF(OR($H142="",$G142=""),"",$H142/$G142)</f>
        <v/>
      </c>
      <c r="J142" s="36" t="str">
        <f aca="false">IF($I142="","",$I142*100)</f>
        <v/>
      </c>
      <c r="K142" s="35" t="str">
        <f aca="false">IF($H142="","",$G142-$H142)</f>
        <v/>
      </c>
      <c r="L142" s="37" t="str">
        <f aca="false">IF(OR($F142="",$G142=""),"",EDATE($F142,ROUND($G142*12,0)))</f>
        <v/>
      </c>
      <c r="M142" s="17" t="str">
        <f aca="false">IF($I142="","",IF($I142&lt;=$H$3,"VERDE",IF($I142&lt;=$J$3,"AMARILLO",IF($I142&lt;1,"NARANJA","ROJO"))))</f>
        <v/>
      </c>
      <c r="N142" s="33"/>
      <c r="O142" s="33"/>
      <c r="P142" s="33"/>
      <c r="Q142" s="38"/>
      <c r="R142" s="17" t="str">
        <f aca="false">IF($I142="","",IF(OR($I142&gt;=1,$P142="SI",AND($I142&gt;=0.81,OR($N142="MALO",$N142="INSERVIBLE"))),"SI","NO"))</f>
        <v/>
      </c>
      <c r="S142" s="38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4"/>
      <c r="G143" s="33"/>
      <c r="H143" s="35" t="str">
        <f aca="false">IF(OR($F143="",$G143=""),"",($B$3-$F143)/365.25)</f>
        <v/>
      </c>
      <c r="I143" s="35" t="str">
        <f aca="false">IF(OR($H143="",$G143=""),"",$H143/$G143)</f>
        <v/>
      </c>
      <c r="J143" s="36" t="str">
        <f aca="false">IF($I143="","",$I143*100)</f>
        <v/>
      </c>
      <c r="K143" s="35" t="str">
        <f aca="false">IF($H143="","",$G143-$H143)</f>
        <v/>
      </c>
      <c r="L143" s="37" t="str">
        <f aca="false">IF(OR($F143="",$G143=""),"",EDATE($F143,ROUND($G143*12,0)))</f>
        <v/>
      </c>
      <c r="M143" s="17" t="str">
        <f aca="false">IF($I143="","",IF($I143&lt;=$H$3,"VERDE",IF($I143&lt;=$J$3,"AMARILLO",IF($I143&lt;1,"NARANJA","ROJO"))))</f>
        <v/>
      </c>
      <c r="N143" s="33"/>
      <c r="O143" s="33"/>
      <c r="P143" s="33"/>
      <c r="Q143" s="38"/>
      <c r="R143" s="17" t="str">
        <f aca="false">IF($I143="","",IF(OR($I143&gt;=1,$P143="SI",AND($I143&gt;=0.81,OR($N143="MALO",$N143="INSERVIBLE"))),"SI","NO"))</f>
        <v/>
      </c>
      <c r="S143" s="38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4"/>
      <c r="G144" s="33"/>
      <c r="H144" s="35" t="str">
        <f aca="false">IF(OR($F144="",$G144=""),"",($B$3-$F144)/365.25)</f>
        <v/>
      </c>
      <c r="I144" s="35" t="str">
        <f aca="false">IF(OR($H144="",$G144=""),"",$H144/$G144)</f>
        <v/>
      </c>
      <c r="J144" s="36" t="str">
        <f aca="false">IF($I144="","",$I144*100)</f>
        <v/>
      </c>
      <c r="K144" s="35" t="str">
        <f aca="false">IF($H144="","",$G144-$H144)</f>
        <v/>
      </c>
      <c r="L144" s="37" t="str">
        <f aca="false">IF(OR($F144="",$G144=""),"",EDATE($F144,ROUND($G144*12,0)))</f>
        <v/>
      </c>
      <c r="M144" s="17" t="str">
        <f aca="false">IF($I144="","",IF($I144&lt;=$H$3,"VERDE",IF($I144&lt;=$J$3,"AMARILLO",IF($I144&lt;1,"NARANJA","ROJO"))))</f>
        <v/>
      </c>
      <c r="N144" s="33"/>
      <c r="O144" s="33"/>
      <c r="P144" s="33"/>
      <c r="Q144" s="38"/>
      <c r="R144" s="17" t="str">
        <f aca="false">IF($I144="","",IF(OR($I144&gt;=1,$P144="SI",AND($I144&gt;=0.81,OR($N144="MALO",$N144="INSERVIBLE"))),"SI","NO"))</f>
        <v/>
      </c>
      <c r="S144" s="38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4"/>
      <c r="G145" s="33"/>
      <c r="H145" s="35" t="str">
        <f aca="false">IF(OR($F145="",$G145=""),"",($B$3-$F145)/365.25)</f>
        <v/>
      </c>
      <c r="I145" s="35" t="str">
        <f aca="false">IF(OR($H145="",$G145=""),"",$H145/$G145)</f>
        <v/>
      </c>
      <c r="J145" s="36" t="str">
        <f aca="false">IF($I145="","",$I145*100)</f>
        <v/>
      </c>
      <c r="K145" s="35" t="str">
        <f aca="false">IF($H145="","",$G145-$H145)</f>
        <v/>
      </c>
      <c r="L145" s="37" t="str">
        <f aca="false">IF(OR($F145="",$G145=""),"",EDATE($F145,ROUND($G145*12,0)))</f>
        <v/>
      </c>
      <c r="M145" s="17" t="str">
        <f aca="false">IF($I145="","",IF($I145&lt;=$H$3,"VERDE",IF($I145&lt;=$J$3,"AMARILLO",IF($I145&lt;1,"NARANJA","ROJO"))))</f>
        <v/>
      </c>
      <c r="N145" s="33"/>
      <c r="O145" s="33"/>
      <c r="P145" s="33"/>
      <c r="Q145" s="38"/>
      <c r="R145" s="17" t="str">
        <f aca="false">IF($I145="","",IF(OR($I145&gt;=1,$P145="SI",AND($I145&gt;=0.81,OR($N145="MALO",$N145="INSERVIBLE"))),"SI","NO"))</f>
        <v/>
      </c>
      <c r="S145" s="38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4"/>
      <c r="G146" s="33"/>
      <c r="H146" s="35" t="str">
        <f aca="false">IF(OR($F146="",$G146=""),"",($B$3-$F146)/365.25)</f>
        <v/>
      </c>
      <c r="I146" s="35" t="str">
        <f aca="false">IF(OR($H146="",$G146=""),"",$H146/$G146)</f>
        <v/>
      </c>
      <c r="J146" s="36" t="str">
        <f aca="false">IF($I146="","",$I146*100)</f>
        <v/>
      </c>
      <c r="K146" s="35" t="str">
        <f aca="false">IF($H146="","",$G146-$H146)</f>
        <v/>
      </c>
      <c r="L146" s="37" t="str">
        <f aca="false">IF(OR($F146="",$G146=""),"",EDATE($F146,ROUND($G146*12,0)))</f>
        <v/>
      </c>
      <c r="M146" s="17" t="str">
        <f aca="false">IF($I146="","",IF($I146&lt;=$H$3,"VERDE",IF($I146&lt;=$J$3,"AMARILLO",IF($I146&lt;1,"NARANJA","ROJO"))))</f>
        <v/>
      </c>
      <c r="N146" s="33"/>
      <c r="O146" s="33"/>
      <c r="P146" s="33"/>
      <c r="Q146" s="38"/>
      <c r="R146" s="17" t="str">
        <f aca="false">IF($I146="","",IF(OR($I146&gt;=1,$P146="SI",AND($I146&gt;=0.81,OR($N146="MALO",$N146="INSERVIBLE"))),"SI","NO"))</f>
        <v/>
      </c>
      <c r="S146" s="38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4"/>
      <c r="G147" s="33"/>
      <c r="H147" s="35" t="str">
        <f aca="false">IF(OR($F147="",$G147=""),"",($B$3-$F147)/365.25)</f>
        <v/>
      </c>
      <c r="I147" s="35" t="str">
        <f aca="false">IF(OR($H147="",$G147=""),"",$H147/$G147)</f>
        <v/>
      </c>
      <c r="J147" s="36" t="str">
        <f aca="false">IF($I147="","",$I147*100)</f>
        <v/>
      </c>
      <c r="K147" s="35" t="str">
        <f aca="false">IF($H147="","",$G147-$H147)</f>
        <v/>
      </c>
      <c r="L147" s="37" t="str">
        <f aca="false">IF(OR($F147="",$G147=""),"",EDATE($F147,ROUND($G147*12,0)))</f>
        <v/>
      </c>
      <c r="M147" s="17" t="str">
        <f aca="false">IF($I147="","",IF($I147&lt;=$H$3,"VERDE",IF($I147&lt;=$J$3,"AMARILLO",IF($I147&lt;1,"NARANJA","ROJO"))))</f>
        <v/>
      </c>
      <c r="N147" s="33"/>
      <c r="O147" s="33"/>
      <c r="P147" s="33"/>
      <c r="Q147" s="38"/>
      <c r="R147" s="17" t="str">
        <f aca="false">IF($I147="","",IF(OR($I147&gt;=1,$P147="SI",AND($I147&gt;=0.81,OR($N147="MALO",$N147="INSERVIBLE"))),"SI","NO"))</f>
        <v/>
      </c>
      <c r="S147" s="38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4"/>
      <c r="G148" s="33"/>
      <c r="H148" s="35" t="str">
        <f aca="false">IF(OR($F148="",$G148=""),"",($B$3-$F148)/365.25)</f>
        <v/>
      </c>
      <c r="I148" s="35" t="str">
        <f aca="false">IF(OR($H148="",$G148=""),"",$H148/$G148)</f>
        <v/>
      </c>
      <c r="J148" s="36" t="str">
        <f aca="false">IF($I148="","",$I148*100)</f>
        <v/>
      </c>
      <c r="K148" s="35" t="str">
        <f aca="false">IF($H148="","",$G148-$H148)</f>
        <v/>
      </c>
      <c r="L148" s="37" t="str">
        <f aca="false">IF(OR($F148="",$G148=""),"",EDATE($F148,ROUND($G148*12,0)))</f>
        <v/>
      </c>
      <c r="M148" s="17" t="str">
        <f aca="false">IF($I148="","",IF($I148&lt;=$H$3,"VERDE",IF($I148&lt;=$J$3,"AMARILLO",IF($I148&lt;1,"NARANJA","ROJO"))))</f>
        <v/>
      </c>
      <c r="N148" s="33"/>
      <c r="O148" s="33"/>
      <c r="P148" s="33"/>
      <c r="Q148" s="38"/>
      <c r="R148" s="17" t="str">
        <f aca="false">IF($I148="","",IF(OR($I148&gt;=1,$P148="SI",AND($I148&gt;=0.81,OR($N148="MALO",$N148="INSERVIBLE"))),"SI","NO"))</f>
        <v/>
      </c>
      <c r="S148" s="38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4"/>
      <c r="G149" s="33"/>
      <c r="H149" s="35" t="str">
        <f aca="false">IF(OR($F149="",$G149=""),"",($B$3-$F149)/365.25)</f>
        <v/>
      </c>
      <c r="I149" s="35" t="str">
        <f aca="false">IF(OR($H149="",$G149=""),"",$H149/$G149)</f>
        <v/>
      </c>
      <c r="J149" s="36" t="str">
        <f aca="false">IF($I149="","",$I149*100)</f>
        <v/>
      </c>
      <c r="K149" s="35" t="str">
        <f aca="false">IF($H149="","",$G149-$H149)</f>
        <v/>
      </c>
      <c r="L149" s="37" t="str">
        <f aca="false">IF(OR($F149="",$G149=""),"",EDATE($F149,ROUND($G149*12,0)))</f>
        <v/>
      </c>
      <c r="M149" s="17" t="str">
        <f aca="false">IF($I149="","",IF($I149&lt;=$H$3,"VERDE",IF($I149&lt;=$J$3,"AMARILLO",IF($I149&lt;1,"NARANJA","ROJO"))))</f>
        <v/>
      </c>
      <c r="N149" s="33"/>
      <c r="O149" s="33"/>
      <c r="P149" s="33"/>
      <c r="Q149" s="38"/>
      <c r="R149" s="17" t="str">
        <f aca="false">IF($I149="","",IF(OR($I149&gt;=1,$P149="SI",AND($I149&gt;=0.81,OR($N149="MALO",$N149="INSERVIBLE"))),"SI","NO"))</f>
        <v/>
      </c>
      <c r="S149" s="38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4"/>
      <c r="G150" s="33"/>
      <c r="H150" s="35" t="str">
        <f aca="false">IF(OR($F150="",$G150=""),"",($B$3-$F150)/365.25)</f>
        <v/>
      </c>
      <c r="I150" s="35" t="str">
        <f aca="false">IF(OR($H150="",$G150=""),"",$H150/$G150)</f>
        <v/>
      </c>
      <c r="J150" s="36" t="str">
        <f aca="false">IF($I150="","",$I150*100)</f>
        <v/>
      </c>
      <c r="K150" s="35" t="str">
        <f aca="false">IF($H150="","",$G150-$H150)</f>
        <v/>
      </c>
      <c r="L150" s="37" t="str">
        <f aca="false">IF(OR($F150="",$G150=""),"",EDATE($F150,ROUND($G150*12,0)))</f>
        <v/>
      </c>
      <c r="M150" s="17" t="str">
        <f aca="false">IF($I150="","",IF($I150&lt;=$H$3,"VERDE",IF($I150&lt;=$J$3,"AMARILLO",IF($I150&lt;1,"NARANJA","ROJO"))))</f>
        <v/>
      </c>
      <c r="N150" s="33"/>
      <c r="O150" s="33"/>
      <c r="P150" s="33"/>
      <c r="Q150" s="38"/>
      <c r="R150" s="17" t="str">
        <f aca="false">IF($I150="","",IF(OR($I150&gt;=1,$P150="SI",AND($I150&gt;=0.81,OR($N150="MALO",$N150="INSERVIBLE"))),"SI","NO"))</f>
        <v/>
      </c>
      <c r="S150" s="38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4"/>
      <c r="G151" s="33"/>
      <c r="H151" s="35" t="str">
        <f aca="false">IF(OR($F151="",$G151=""),"",($B$3-$F151)/365.25)</f>
        <v/>
      </c>
      <c r="I151" s="35" t="str">
        <f aca="false">IF(OR($H151="",$G151=""),"",$H151/$G151)</f>
        <v/>
      </c>
      <c r="J151" s="36" t="str">
        <f aca="false">IF($I151="","",$I151*100)</f>
        <v/>
      </c>
      <c r="K151" s="35" t="str">
        <f aca="false">IF($H151="","",$G151-$H151)</f>
        <v/>
      </c>
      <c r="L151" s="37" t="str">
        <f aca="false">IF(OR($F151="",$G151=""),"",EDATE($F151,ROUND($G151*12,0)))</f>
        <v/>
      </c>
      <c r="M151" s="17" t="str">
        <f aca="false">IF($I151="","",IF($I151&lt;=$H$3,"VERDE",IF($I151&lt;=$J$3,"AMARILLO",IF($I151&lt;1,"NARANJA","ROJO"))))</f>
        <v/>
      </c>
      <c r="N151" s="33"/>
      <c r="O151" s="33"/>
      <c r="P151" s="33"/>
      <c r="Q151" s="38"/>
      <c r="R151" s="17" t="str">
        <f aca="false">IF($I151="","",IF(OR($I151&gt;=1,$P151="SI",AND($I151&gt;=0.81,OR($N151="MALO",$N151="INSERVIBLE"))),"SI","NO"))</f>
        <v/>
      </c>
      <c r="S151" s="38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4"/>
      <c r="G152" s="33"/>
      <c r="H152" s="35" t="str">
        <f aca="false">IF(OR($F152="",$G152=""),"",($B$3-$F152)/365.25)</f>
        <v/>
      </c>
      <c r="I152" s="35" t="str">
        <f aca="false">IF(OR($H152="",$G152=""),"",$H152/$G152)</f>
        <v/>
      </c>
      <c r="J152" s="36" t="str">
        <f aca="false">IF($I152="","",$I152*100)</f>
        <v/>
      </c>
      <c r="K152" s="35" t="str">
        <f aca="false">IF($H152="","",$G152-$H152)</f>
        <v/>
      </c>
      <c r="L152" s="37" t="str">
        <f aca="false">IF(OR($F152="",$G152=""),"",EDATE($F152,ROUND($G152*12,0)))</f>
        <v/>
      </c>
      <c r="M152" s="17" t="str">
        <f aca="false">IF($I152="","",IF($I152&lt;=$H$3,"VERDE",IF($I152&lt;=$J$3,"AMARILLO",IF($I152&lt;1,"NARANJA","ROJO"))))</f>
        <v/>
      </c>
      <c r="N152" s="33"/>
      <c r="O152" s="33"/>
      <c r="P152" s="33"/>
      <c r="Q152" s="38"/>
      <c r="R152" s="17" t="str">
        <f aca="false">IF($I152="","",IF(OR($I152&gt;=1,$P152="SI",AND($I152&gt;=0.81,OR($N152="MALO",$N152="INSERVIBLE"))),"SI","NO"))</f>
        <v/>
      </c>
      <c r="S152" s="38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4"/>
      <c r="G153" s="33"/>
      <c r="H153" s="35" t="str">
        <f aca="false">IF(OR($F153="",$G153=""),"",($B$3-$F153)/365.25)</f>
        <v/>
      </c>
      <c r="I153" s="35" t="str">
        <f aca="false">IF(OR($H153="",$G153=""),"",$H153/$G153)</f>
        <v/>
      </c>
      <c r="J153" s="36" t="str">
        <f aca="false">IF($I153="","",$I153*100)</f>
        <v/>
      </c>
      <c r="K153" s="35" t="str">
        <f aca="false">IF($H153="","",$G153-$H153)</f>
        <v/>
      </c>
      <c r="L153" s="37" t="str">
        <f aca="false">IF(OR($F153="",$G153=""),"",EDATE($F153,ROUND($G153*12,0)))</f>
        <v/>
      </c>
      <c r="M153" s="17" t="str">
        <f aca="false">IF($I153="","",IF($I153&lt;=$H$3,"VERDE",IF($I153&lt;=$J$3,"AMARILLO",IF($I153&lt;1,"NARANJA","ROJO"))))</f>
        <v/>
      </c>
      <c r="N153" s="33"/>
      <c r="O153" s="33"/>
      <c r="P153" s="33"/>
      <c r="Q153" s="38"/>
      <c r="R153" s="17" t="str">
        <f aca="false">IF($I153="","",IF(OR($I153&gt;=1,$P153="SI",AND($I153&gt;=0.81,OR($N153="MALO",$N153="INSERVIBLE"))),"SI","NO"))</f>
        <v/>
      </c>
      <c r="S153" s="38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4"/>
      <c r="G154" s="33"/>
      <c r="H154" s="35" t="str">
        <f aca="false">IF(OR($F154="",$G154=""),"",($B$3-$F154)/365.25)</f>
        <v/>
      </c>
      <c r="I154" s="35" t="str">
        <f aca="false">IF(OR($H154="",$G154=""),"",$H154/$G154)</f>
        <v/>
      </c>
      <c r="J154" s="36" t="str">
        <f aca="false">IF($I154="","",$I154*100)</f>
        <v/>
      </c>
      <c r="K154" s="35" t="str">
        <f aca="false">IF($H154="","",$G154-$H154)</f>
        <v/>
      </c>
      <c r="L154" s="37" t="str">
        <f aca="false">IF(OR($F154="",$G154=""),"",EDATE($F154,ROUND($G154*12,0)))</f>
        <v/>
      </c>
      <c r="M154" s="17" t="str">
        <f aca="false">IF($I154="","",IF($I154&lt;=$H$3,"VERDE",IF($I154&lt;=$J$3,"AMARILLO",IF($I154&lt;1,"NARANJA","ROJO"))))</f>
        <v/>
      </c>
      <c r="N154" s="33"/>
      <c r="O154" s="33"/>
      <c r="P154" s="33"/>
      <c r="Q154" s="38"/>
      <c r="R154" s="17" t="str">
        <f aca="false">IF($I154="","",IF(OR($I154&gt;=1,$P154="SI",AND($I154&gt;=0.81,OR($N154="MALO",$N154="INSERVIBLE"))),"SI","NO"))</f>
        <v/>
      </c>
      <c r="S154" s="38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4"/>
      <c r="G155" s="33"/>
      <c r="H155" s="35" t="str">
        <f aca="false">IF(OR($F155="",$G155=""),"",($B$3-$F155)/365.25)</f>
        <v/>
      </c>
      <c r="I155" s="35" t="str">
        <f aca="false">IF(OR($H155="",$G155=""),"",$H155/$G155)</f>
        <v/>
      </c>
      <c r="J155" s="36" t="str">
        <f aca="false">IF($I155="","",$I155*100)</f>
        <v/>
      </c>
      <c r="K155" s="35" t="str">
        <f aca="false">IF($H155="","",$G155-$H155)</f>
        <v/>
      </c>
      <c r="L155" s="37" t="str">
        <f aca="false">IF(OR($F155="",$G155=""),"",EDATE($F155,ROUND($G155*12,0)))</f>
        <v/>
      </c>
      <c r="M155" s="17" t="str">
        <f aca="false">IF($I155="","",IF($I155&lt;=$H$3,"VERDE",IF($I155&lt;=$J$3,"AMARILLO",IF($I155&lt;1,"NARANJA","ROJO"))))</f>
        <v/>
      </c>
      <c r="N155" s="33"/>
      <c r="O155" s="33"/>
      <c r="P155" s="33"/>
      <c r="Q155" s="38"/>
      <c r="R155" s="17" t="str">
        <f aca="false">IF($I155="","",IF(OR($I155&gt;=1,$P155="SI",AND($I155&gt;=0.81,OR($N155="MALO",$N155="INSERVIBLE"))),"SI","NO"))</f>
        <v/>
      </c>
      <c r="S155" s="38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4"/>
      <c r="G156" s="33"/>
      <c r="H156" s="35" t="str">
        <f aca="false">IF(OR($F156="",$G156=""),"",($B$3-$F156)/365.25)</f>
        <v/>
      </c>
      <c r="I156" s="35" t="str">
        <f aca="false">IF(OR($H156="",$G156=""),"",$H156/$G156)</f>
        <v/>
      </c>
      <c r="J156" s="36" t="str">
        <f aca="false">IF($I156="","",$I156*100)</f>
        <v/>
      </c>
      <c r="K156" s="35" t="str">
        <f aca="false">IF($H156="","",$G156-$H156)</f>
        <v/>
      </c>
      <c r="L156" s="37" t="str">
        <f aca="false">IF(OR($F156="",$G156=""),"",EDATE($F156,ROUND($G156*12,0)))</f>
        <v/>
      </c>
      <c r="M156" s="17" t="str">
        <f aca="false">IF($I156="","",IF($I156&lt;=$H$3,"VERDE",IF($I156&lt;=$J$3,"AMARILLO",IF($I156&lt;1,"NARANJA","ROJO"))))</f>
        <v/>
      </c>
      <c r="N156" s="33"/>
      <c r="O156" s="33"/>
      <c r="P156" s="33"/>
      <c r="Q156" s="38"/>
      <c r="R156" s="17" t="str">
        <f aca="false">IF($I156="","",IF(OR($I156&gt;=1,$P156="SI",AND($I156&gt;=0.81,OR($N156="MALO",$N156="INSERVIBLE"))),"SI","NO"))</f>
        <v/>
      </c>
      <c r="S156" s="38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4"/>
      <c r="G157" s="33"/>
      <c r="H157" s="35" t="str">
        <f aca="false">IF(OR($F157="",$G157=""),"",($B$3-$F157)/365.25)</f>
        <v/>
      </c>
      <c r="I157" s="35" t="str">
        <f aca="false">IF(OR($H157="",$G157=""),"",$H157/$G157)</f>
        <v/>
      </c>
      <c r="J157" s="36" t="str">
        <f aca="false">IF($I157="","",$I157*100)</f>
        <v/>
      </c>
      <c r="K157" s="35" t="str">
        <f aca="false">IF($H157="","",$G157-$H157)</f>
        <v/>
      </c>
      <c r="L157" s="37" t="str">
        <f aca="false">IF(OR($F157="",$G157=""),"",EDATE($F157,ROUND($G157*12,0)))</f>
        <v/>
      </c>
      <c r="M157" s="17" t="str">
        <f aca="false">IF($I157="","",IF($I157&lt;=$H$3,"VERDE",IF($I157&lt;=$J$3,"AMARILLO",IF($I157&lt;1,"NARANJA","ROJO"))))</f>
        <v/>
      </c>
      <c r="N157" s="33"/>
      <c r="O157" s="33"/>
      <c r="P157" s="33"/>
      <c r="Q157" s="38"/>
      <c r="R157" s="17" t="str">
        <f aca="false">IF($I157="","",IF(OR($I157&gt;=1,$P157="SI",AND($I157&gt;=0.81,OR($N157="MALO",$N157="INSERVIBLE"))),"SI","NO"))</f>
        <v/>
      </c>
      <c r="S157" s="38"/>
    </row>
  </sheetData>
  <mergeCells count="2">
    <mergeCell ref="A1:S1"/>
    <mergeCell ref="A2:S2"/>
  </mergeCells>
  <dataValidations count="3">
    <dataValidation allowBlank="true" error="Seleccione un valor de la lista desplegable." errorStyle="stop" errorTitle="Valor no permitido" operator="between" showDropDown="false" showErrorMessage="true" showInputMessage="false" sqref="N7:N157" type="list">
      <formula1>"BUENO,REGULAR,MALO,INSERVIBLE"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O7:O157" type="list">
      <formula1>"OPERATIVO,NO_OPERATIVO,FUERA_SERVICIO"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P7:P157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2026-08-24T21:33:57Z</dcterms:created>
  <dc:creator>openpyxl</dc:creator>
  <dc:description/>
  <dc:language>en-US</dc:language>
  <cp:lastModifiedBy/>
  <dcterms:modified xsi:type="dcterms:W3CDTF">2026-08-24T21:34:03Z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