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VO" sheetId="1" state="visible" r:id="rId3"/>
    <sheet name="INMUE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<sst xmlns="http://schemas.openxmlformats.org/spreadsheetml/2006/main" count="238" uniqueCount="126">
  <si>
    <t xml:space="preserve">PL-11 - Ficha de Avalúo de Inmueble</t>
  </si>
  <si>
    <t xml:space="preserve">Paso del proceso</t>
  </si>
  <si>
    <t xml:space="preserve">08 - Valuación de inmuebles</t>
  </si>
  <si>
    <t xml:space="preserve">Responsable de diligenciar</t>
  </si>
  <si>
    <t xml:space="preserve">Perito avaluador registrado (R.A.A) + Firma contratista</t>
  </si>
  <si>
    <t xml:space="preserve">Documento de referencia</t>
  </si>
  <si>
    <t xml:space="preserve">08_VALUACION_DE_INMUEBLES.md</t>
  </si>
  <si>
    <t xml:space="preserve">Se convierte en</t>
  </si>
  <si>
    <t xml:space="preserve">EN-08-03 Ficha de inmueble con informe pericial adjunto</t>
  </si>
  <si>
    <t xml:space="preserve">QUE SE DEBE SOLICITAR ANTES DE DILIGENCIAR</t>
  </si>
  <si>
    <t xml:space="preserve">-</t>
  </si>
  <si>
    <t xml:space="preserve">IN-08-01 Certificado de Tradicion y Libertad vigente (menos de 30 días) - SIN ESTE NO HAY AVALUO</t>
  </si>
  <si>
    <t xml:space="preserve">IN-08-02 Escritura pública o acto de adquisición</t>
  </si>
  <si>
    <t xml:space="preserve">IN-08-03 Boletin o ficha catastral (IGAC o catastro municipal)</t>
  </si>
  <si>
    <t xml:space="preserve">IN-08-04 Levantamiento arquitectonico o planos con areas</t>
  </si>
  <si>
    <t xml:space="preserve">IN-08-05 Certificado de uso de suelo (POT/EOT)</t>
  </si>
  <si>
    <t xml:space="preserve">IN-08-07 Historial de remodelaciones y adecuaciones</t>
  </si>
  <si>
    <t xml:space="preserve">IN-08-09 Autorizacion de visita técnica</t>
  </si>
  <si>
    <t xml:space="preserve">CODIGO DE COLORES</t>
  </si>
  <si>
    <t xml:space="preserve">Celda a diligenciar</t>
  </si>
  <si>
    <t xml:space="preserve">Usted debe escribir aquí.</t>
  </si>
  <si>
    <t xml:space="preserve">Celda calculada</t>
  </si>
  <si>
    <t xml:space="preserve">NO escribir: contiene formula. Se calcula sola.</t>
  </si>
  <si>
    <t xml:space="preserve">Fila de ejemplo</t>
  </si>
  <si>
    <t xml:space="preserve">Muestra el formato esperado. BORRELA antes de usar.</t>
  </si>
  <si>
    <t xml:space="preserve">Parámetro</t>
  </si>
  <si>
    <t xml:space="preserve">Configuracion de la entidad. Definalo una sola vez.</t>
  </si>
  <si>
    <t xml:space="preserve">REGLAS DE DILIGENCIAMIENTO</t>
  </si>
  <si>
    <t xml:space="preserve">La aplicación NO calcula el avalúo: lo calcula el perito. Aqui se REGISTRA su resultado.</t>
  </si>
  <si>
    <t xml:space="preserve">El avalúo tiene vigencia de 1 año (Decreto 1170 de 2015): la columna dias_para_vencer lo controla.</t>
  </si>
  <si>
    <t xml:space="preserve">Terreno y construcción se registran por separado: el terreno NO se deprecia.</t>
  </si>
  <si>
    <t xml:space="preserve">Las areas son responsabilidad de la entidad (levantamiento arquitectonico del propietario).</t>
  </si>
  <si>
    <t xml:space="preserve">Un predio sin titulo se registra y se valua para control, pero NO se incorpora al patrimonio.</t>
  </si>
  <si>
    <t xml:space="preserve">No cambie los nombres de las columnas: la aplicación los usa para importar.</t>
  </si>
  <si>
    <t xml:space="preserve">Fechas en formato AAAA-MM-DD. Valores en pesos, sin puntos ni simbolo $.</t>
  </si>
  <si>
    <t xml:space="preserve">Si un dato no existe, deje la celda vacia. NO escriba cero ni 'NO REGISTRA'.</t>
  </si>
  <si>
    <t xml:space="preserve">Borre la fila de ejemplo antes de entregar el archivo.</t>
  </si>
  <si>
    <t xml:space="preserve">DICCIONARIO DE COLUMNAS</t>
  </si>
  <si>
    <t xml:space="preserve">COLUMNA</t>
  </si>
  <si>
    <t xml:space="preserve">TIPO</t>
  </si>
  <si>
    <t xml:space="preserve">OBLIG.</t>
  </si>
  <si>
    <t xml:space="preserve">DESCRIPCION</t>
  </si>
  <si>
    <t xml:space="preserve">codigo_inmueble</t>
  </si>
  <si>
    <t xml:space="preserve">texto</t>
  </si>
  <si>
    <t xml:space="preserve">SI</t>
  </si>
  <si>
    <t xml:space="preserve">nombre_inmueble</t>
  </si>
  <si>
    <t xml:space="preserve">tipo_inmueble</t>
  </si>
  <si>
    <t xml:space="preserve">direccion</t>
  </si>
  <si>
    <t xml:space="preserve">municipio</t>
  </si>
  <si>
    <t xml:space="preserve">destinacion</t>
  </si>
  <si>
    <t xml:space="preserve">matricula_inmobiliaria</t>
  </si>
  <si>
    <t xml:space="preserve">Del Certificado de Tradicion y Libertad.</t>
  </si>
  <si>
    <t xml:space="preserve">codigo_catastral</t>
  </si>
  <si>
    <t xml:space="preserve">titulo_adquisicion</t>
  </si>
  <si>
    <t xml:space="preserve">Escritura, resolución de donación, etc.</t>
  </si>
  <si>
    <t xml:space="preserve">fecha_adquisicion</t>
  </si>
  <si>
    <t xml:space="preserve">fecha</t>
  </si>
  <si>
    <t xml:space="preserve">afectaciones</t>
  </si>
  <si>
    <t xml:space="preserve">Según el certificado de tradicion. Escriba NINGUNA si no hay.</t>
  </si>
  <si>
    <t xml:space="preserve">estado_legalizacion</t>
  </si>
  <si>
    <t xml:space="preserve">area_terreno_m2</t>
  </si>
  <si>
    <t xml:space="preserve">número</t>
  </si>
  <si>
    <t xml:space="preserve">Del levantamiento arquitectonico.</t>
  </si>
  <si>
    <t xml:space="preserve">area_construida_m2</t>
  </si>
  <si>
    <t xml:space="preserve">vetustez_anios</t>
  </si>
  <si>
    <t xml:space="preserve">Edad efectiva de la edificación.</t>
  </si>
  <si>
    <t xml:space="preserve">vida_util_total_anios</t>
  </si>
  <si>
    <t xml:space="preserve">Usualmente 70 años para edificaciones.</t>
  </si>
  <si>
    <t xml:space="preserve">estado_conservacion</t>
  </si>
  <si>
    <t xml:space="preserve">Escala de Fitto y Corvini.</t>
  </si>
  <si>
    <t xml:space="preserve">valor_m2_terreno</t>
  </si>
  <si>
    <t xml:space="preserve">moneda</t>
  </si>
  <si>
    <t xml:space="preserve">Resultado del estudio de mercado (PL-11b).</t>
  </si>
  <si>
    <t xml:space="preserve">valor_total_terreno</t>
  </si>
  <si>
    <t xml:space="preserve">CALC</t>
  </si>
  <si>
    <t xml:space="preserve">CALCULADO: area de terreno x valor por m2.</t>
  </si>
  <si>
    <t xml:space="preserve">costo_reposicion_m2</t>
  </si>
  <si>
    <t xml:space="preserve">Costo de construir hoy, por m2.</t>
  </si>
  <si>
    <t xml:space="preserve">factor_depreciacion</t>
  </si>
  <si>
    <t xml:space="preserve">Factor de Fitto y Corvini según vetustez y conservación.</t>
  </si>
  <si>
    <t xml:space="preserve">factor_calidad</t>
  </si>
  <si>
    <t xml:space="preserve">Ajuste por calidad de obra.</t>
  </si>
  <si>
    <t xml:space="preserve">valor_m2_construccion_depreciado</t>
  </si>
  <si>
    <t xml:space="preserve">CALCULADO: costo de reposición x (1 - factor de depreciación) x factor de calidad.</t>
  </si>
  <si>
    <t xml:space="preserve">valor_total_construccion</t>
  </si>
  <si>
    <t xml:space="preserve">CALCULADO: area construida x valor por m2 depreciado.</t>
  </si>
  <si>
    <t xml:space="preserve">valor_total_inmueble</t>
  </si>
  <si>
    <t xml:space="preserve">CALCULADO: terreno + construcción.</t>
  </si>
  <si>
    <t xml:space="preserve">perito_nombre</t>
  </si>
  <si>
    <t xml:space="preserve">perito_registro_raa</t>
  </si>
  <si>
    <t xml:space="preserve">Registro Abierto de Avaluadores.</t>
  </si>
  <si>
    <t xml:space="preserve">fecha_visita</t>
  </si>
  <si>
    <t xml:space="preserve">fecha_informe</t>
  </si>
  <si>
    <t xml:space="preserve">vigencia_hasta</t>
  </si>
  <si>
    <t xml:space="preserve">CALCULADA: fecha del informe + 1 año.</t>
  </si>
  <si>
    <t xml:space="preserve">dias_para_vencer</t>
  </si>
  <si>
    <t xml:space="preserve">CALCULADA contra la fecha de corte. Alerta si es menor a 60.</t>
  </si>
  <si>
    <t xml:space="preserve">valor_libros_anterior</t>
  </si>
  <si>
    <t xml:space="preserve">Saldo contable antes del avalúo.</t>
  </si>
  <si>
    <t xml:space="preserve">diferencia_valuacion</t>
  </si>
  <si>
    <t xml:space="preserve">CALCULADA: avalúo - valor en libros.</t>
  </si>
  <si>
    <t xml:space="preserve">informe_pdf</t>
  </si>
  <si>
    <t xml:space="preserve">Archivo del informe pericial firmado.</t>
  </si>
  <si>
    <t xml:space="preserve">{{ENTIDAD_RAZON_SOCIAL}}</t>
  </si>
  <si>
    <t xml:space="preserve">FECHA DE CORTE:</t>
  </si>
  <si>
    <t xml:space="preserve">&lt;-- CAMBIE ESTA FECHA Y TODO SE RECALCULA</t>
  </si>
  <si>
    <t xml:space="preserve">SEDE:</t>
  </si>
  <si>
    <t xml:space="preserve">Amarillo = diligenciar   |   Gris = calculado, no escribir   |   Fila 7 = ejemplo, borrela</t>
  </si>
  <si>
    <t xml:space="preserve">INM-01</t>
  </si>
  <si>
    <t xml:space="preserve">SEDE PRINCIPAL CENTRO DE SALUD</t>
  </si>
  <si>
    <t xml:space="preserve">URBANO</t>
  </si>
  <si>
    <t xml:space="preserve">CALLE 5 No. 4-20</t>
  </si>
  <si>
    <t xml:space="preserve">SAN JACINTO DEL CAUCA</t>
  </si>
  <si>
    <t xml:space="preserve">CENTRO DE SALUD</t>
  </si>
  <si>
    <t xml:space="preserve">062-12345</t>
  </si>
  <si>
    <t xml:space="preserve">13655010100010001000</t>
  </si>
  <si>
    <t xml:space="preserve">ESCRITURA PUBLICA 458</t>
  </si>
  <si>
    <t xml:space="preserve">2005-10-15</t>
  </si>
  <si>
    <t xml:space="preserve">NINGUNA</t>
  </si>
  <si>
    <t xml:space="preserve">LEGALIZADO</t>
  </si>
  <si>
    <t xml:space="preserve">2_BUENO</t>
  </si>
  <si>
    <t xml:space="preserve">CESAR A. VARGAS - PERITO AVALUADOR</t>
  </si>
  <si>
    <t xml:space="preserve">AVAL-6805955</t>
  </si>
  <si>
    <t xml:space="preserve">2026-09-10</t>
  </si>
  <si>
    <t xml:space="preserve">2026-09-25</t>
  </si>
  <si>
    <t xml:space="preserve">avaluo_sede_principal_2026.pdf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</si>
</sst>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"/>
    <numFmt numFmtId="167" formatCode="#,##0"/>
    <numFmt numFmtId="168" formatCode="0.0000"/>
    <numFmt numFmtId="169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78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  <c r="C4" s="4" t="s">
        <v>2</v>
      </c>
      <c r="D4" s="4"/>
      <c r="E4" s="4"/>
    </row>
    <row r="5" customFormat="false" ht="15" hidden="false" customHeight="true" outlineLevel="0" collapsed="false">
      <c r="B5" s="3" t="s">
        <v>3</v>
      </c>
      <c r="C5" s="4" t="s">
        <v>4</v>
      </c>
      <c r="D5" s="4"/>
      <c r="E5" s="4"/>
    </row>
    <row r="6" customFormat="false" ht="15" hidden="false" customHeight="true" outlineLevel="0" collapsed="false">
      <c r="B6" s="3" t="s">
        <v>5</v>
      </c>
      <c r="C6" s="4" t="s">
        <v>6</v>
      </c>
      <c r="D6" s="4"/>
      <c r="E6" s="4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4"/>
    </row>
    <row r="9" customFormat="false" ht="15" hidden="false" customHeight="true" outlineLevel="0" collapsed="false">
      <c r="B9" s="5" t="s">
        <v>9</v>
      </c>
    </row>
    <row r="10" customFormat="false" ht="15" hidden="false" customHeight="true" outlineLevel="0" collapsed="false">
      <c r="B10" s="6" t="s">
        <v>10</v>
      </c>
      <c r="C10" s="4" t="s">
        <v>11</v>
      </c>
      <c r="D10" s="4"/>
      <c r="E10" s="4"/>
    </row>
    <row r="11" customFormat="false" ht="15" hidden="false" customHeight="true" outlineLevel="0" collapsed="false">
      <c r="B11" s="6" t="s">
        <v>10</v>
      </c>
      <c r="C11" s="4" t="s">
        <v>12</v>
      </c>
      <c r="D11" s="4"/>
      <c r="E11" s="4"/>
    </row>
    <row r="12" customFormat="false" ht="15" hidden="false" customHeight="true" outlineLevel="0" collapsed="false">
      <c r="B12" s="6" t="s">
        <v>10</v>
      </c>
      <c r="C12" s="4" t="s">
        <v>13</v>
      </c>
      <c r="D12" s="4"/>
      <c r="E12" s="4"/>
    </row>
    <row r="13" customFormat="false" ht="15" hidden="false" customHeight="true" outlineLevel="0" collapsed="false">
      <c r="B13" s="6" t="s">
        <v>10</v>
      </c>
      <c r="C13" s="4" t="s">
        <v>14</v>
      </c>
      <c r="D13" s="4"/>
      <c r="E13" s="4"/>
    </row>
    <row r="14" customFormat="false" ht="15" hidden="false" customHeight="true" outlineLevel="0" collapsed="false">
      <c r="B14" s="6" t="s">
        <v>10</v>
      </c>
      <c r="C14" s="4" t="s">
        <v>15</v>
      </c>
      <c r="D14" s="4"/>
      <c r="E14" s="4"/>
    </row>
    <row r="15" customFormat="false" ht="15" hidden="false" customHeight="true" outlineLevel="0" collapsed="false">
      <c r="B15" s="6" t="s">
        <v>10</v>
      </c>
      <c r="C15" s="4" t="s">
        <v>16</v>
      </c>
      <c r="D15" s="4"/>
      <c r="E15" s="4"/>
    </row>
    <row r="16" customFormat="false" ht="15" hidden="false" customHeight="true" outlineLevel="0" collapsed="false">
      <c r="B16" s="6" t="s">
        <v>10</v>
      </c>
      <c r="C16" s="4" t="s">
        <v>17</v>
      </c>
      <c r="D16" s="4"/>
      <c r="E16" s="4"/>
    </row>
    <row r="18" customFormat="false" ht="15" hidden="false" customHeight="true" outlineLevel="0" collapsed="false">
      <c r="B18" s="5" t="s">
        <v>18</v>
      </c>
    </row>
    <row r="19" customFormat="false" ht="15" hidden="false" customHeight="true" outlineLevel="0" collapsed="false">
      <c r="B19" s="7" t="s">
        <v>19</v>
      </c>
      <c r="C19" s="8" t="s">
        <v>20</v>
      </c>
      <c r="D19" s="8"/>
      <c r="E19" s="8"/>
    </row>
    <row r="20" customFormat="false" ht="15" hidden="false" customHeight="true" outlineLevel="0" collapsed="false">
      <c r="B20" s="9" t="s">
        <v>21</v>
      </c>
      <c r="C20" s="8" t="s">
        <v>22</v>
      </c>
      <c r="D20" s="8"/>
      <c r="E20" s="8"/>
    </row>
    <row r="21" customFormat="false" ht="15" hidden="false" customHeight="true" outlineLevel="0" collapsed="false">
      <c r="B21" s="10" t="s">
        <v>23</v>
      </c>
      <c r="C21" s="8" t="s">
        <v>24</v>
      </c>
      <c r="D21" s="8"/>
      <c r="E21" s="8"/>
    </row>
    <row r="22" customFormat="false" ht="15" hidden="false" customHeight="true" outlineLevel="0" collapsed="false">
      <c r="B22" s="11" t="s">
        <v>25</v>
      </c>
      <c r="C22" s="8" t="s">
        <v>26</v>
      </c>
      <c r="D22" s="8"/>
      <c r="E22" s="8"/>
    </row>
    <row r="24" customFormat="false" ht="15" hidden="false" customHeight="true" outlineLevel="0" collapsed="false">
      <c r="B24" s="5" t="s">
        <v>27</v>
      </c>
    </row>
    <row r="25" customFormat="false" ht="15" hidden="false" customHeight="true" outlineLevel="0" collapsed="false">
      <c r="B25" s="6" t="s">
        <v>10</v>
      </c>
      <c r="C25" s="4" t="s">
        <v>28</v>
      </c>
      <c r="D25" s="4"/>
      <c r="E25" s="4"/>
    </row>
    <row r="26" customFormat="false" ht="15" hidden="false" customHeight="true" outlineLevel="0" collapsed="false">
      <c r="B26" s="6" t="s">
        <v>10</v>
      </c>
      <c r="C26" s="4" t="s">
        <v>29</v>
      </c>
      <c r="D26" s="4"/>
      <c r="E26" s="4"/>
    </row>
    <row r="27" customFormat="false" ht="15" hidden="false" customHeight="true" outlineLevel="0" collapsed="false">
      <c r="B27" s="6" t="s">
        <v>10</v>
      </c>
      <c r="C27" s="4" t="s">
        <v>30</v>
      </c>
      <c r="D27" s="4"/>
      <c r="E27" s="4"/>
    </row>
    <row r="28" customFormat="false" ht="15" hidden="false" customHeight="true" outlineLevel="0" collapsed="false">
      <c r="B28" s="6" t="s">
        <v>10</v>
      </c>
      <c r="C28" s="4" t="s">
        <v>31</v>
      </c>
      <c r="D28" s="4"/>
      <c r="E28" s="4"/>
    </row>
    <row r="29" customFormat="false" ht="15" hidden="false" customHeight="true" outlineLevel="0" collapsed="false">
      <c r="B29" s="6" t="s">
        <v>10</v>
      </c>
      <c r="C29" s="4" t="s">
        <v>32</v>
      </c>
      <c r="D29" s="4"/>
      <c r="E29" s="4"/>
    </row>
    <row r="30" customFormat="false" ht="15" hidden="false" customHeight="true" outlineLevel="0" collapsed="false">
      <c r="B30" s="6" t="s">
        <v>10</v>
      </c>
      <c r="C30" s="4" t="s">
        <v>33</v>
      </c>
      <c r="D30" s="4"/>
      <c r="E30" s="4"/>
    </row>
    <row r="31" customFormat="false" ht="15" hidden="false" customHeight="true" outlineLevel="0" collapsed="false">
      <c r="B31" s="6" t="s">
        <v>10</v>
      </c>
      <c r="C31" s="4" t="s">
        <v>34</v>
      </c>
      <c r="D31" s="4"/>
      <c r="E31" s="4"/>
    </row>
    <row r="32" customFormat="false" ht="15" hidden="false" customHeight="true" outlineLevel="0" collapsed="false">
      <c r="B32" s="6" t="s">
        <v>10</v>
      </c>
      <c r="C32" s="4" t="s">
        <v>35</v>
      </c>
      <c r="D32" s="4"/>
      <c r="E32" s="4"/>
    </row>
    <row r="33" customFormat="false" ht="15" hidden="false" customHeight="true" outlineLevel="0" collapsed="false">
      <c r="B33" s="6" t="s">
        <v>10</v>
      </c>
      <c r="C33" s="4" t="s">
        <v>36</v>
      </c>
      <c r="D33" s="4"/>
      <c r="E33" s="4"/>
    </row>
    <row r="35" customFormat="false" ht="15" hidden="false" customHeight="true" outlineLevel="0" collapsed="false">
      <c r="B35" s="5" t="s">
        <v>37</v>
      </c>
    </row>
    <row r="36" customFormat="false" ht="15" hidden="false" customHeight="true" outlineLevel="0" collapsed="false">
      <c r="B36" s="12" t="s">
        <v>38</v>
      </c>
      <c r="C36" s="12" t="s">
        <v>39</v>
      </c>
      <c r="D36" s="12" t="s">
        <v>40</v>
      </c>
      <c r="E36" s="12" t="s">
        <v>41</v>
      </c>
    </row>
    <row r="37" customFormat="false" ht="15" hidden="false" customHeight="true" outlineLevel="0" collapsed="false">
      <c r="B37" s="13" t="s">
        <v>42</v>
      </c>
      <c r="C37" s="13" t="s">
        <v>43</v>
      </c>
      <c r="D37" s="14" t="s">
        <v>44</v>
      </c>
      <c r="E37" s="15"/>
    </row>
    <row r="38" customFormat="false" ht="15" hidden="false" customHeight="true" outlineLevel="0" collapsed="false">
      <c r="B38" s="13" t="s">
        <v>45</v>
      </c>
      <c r="C38" s="13" t="s">
        <v>43</v>
      </c>
      <c r="D38" s="14" t="s">
        <v>44</v>
      </c>
      <c r="E38" s="15"/>
    </row>
    <row r="39" customFormat="false" ht="15" hidden="false" customHeight="true" outlineLevel="0" collapsed="false">
      <c r="B39" s="13" t="s">
        <v>46</v>
      </c>
      <c r="C39" s="13" t="s">
        <v>43</v>
      </c>
      <c r="D39" s="14" t="s">
        <v>44</v>
      </c>
      <c r="E39" s="15"/>
    </row>
    <row r="40" customFormat="false" ht="15" hidden="false" customHeight="true" outlineLevel="0" collapsed="false">
      <c r="B40" s="13" t="s">
        <v>47</v>
      </c>
      <c r="C40" s="13" t="s">
        <v>43</v>
      </c>
      <c r="D40" s="14" t="s">
        <v>44</v>
      </c>
      <c r="E40" s="15"/>
    </row>
    <row r="41" customFormat="false" ht="15" hidden="false" customHeight="true" outlineLevel="0" collapsed="false">
      <c r="B41" s="13" t="s">
        <v>48</v>
      </c>
      <c r="C41" s="13" t="s">
        <v>43</v>
      </c>
      <c r="D41" s="14" t="s">
        <v>44</v>
      </c>
      <c r="E41" s="15"/>
    </row>
    <row r="42" customFormat="false" ht="15" hidden="false" customHeight="true" outlineLevel="0" collapsed="false">
      <c r="B42" s="13" t="s">
        <v>49</v>
      </c>
      <c r="C42" s="13" t="s">
        <v>43</v>
      </c>
      <c r="D42" s="14" t="s">
        <v>44</v>
      </c>
      <c r="E42" s="15"/>
    </row>
    <row r="43" customFormat="false" ht="15" hidden="false" customHeight="true" outlineLevel="0" collapsed="false">
      <c r="B43" s="13" t="s">
        <v>50</v>
      </c>
      <c r="C43" s="13" t="s">
        <v>43</v>
      </c>
      <c r="D43" s="14" t="s">
        <v>44</v>
      </c>
      <c r="E43" s="15" t="s">
        <v>51</v>
      </c>
    </row>
    <row r="44" customFormat="false" ht="15" hidden="false" customHeight="true" outlineLevel="0" collapsed="false">
      <c r="B44" s="13" t="s">
        <v>52</v>
      </c>
      <c r="C44" s="13" t="s">
        <v>43</v>
      </c>
      <c r="D44" s="14" t="s">
        <v>44</v>
      </c>
      <c r="E44" s="15"/>
    </row>
    <row r="45" customFormat="false" ht="15" hidden="false" customHeight="true" outlineLevel="0" collapsed="false">
      <c r="B45" s="13" t="s">
        <v>53</v>
      </c>
      <c r="C45" s="13" t="s">
        <v>43</v>
      </c>
      <c r="D45" s="14" t="s">
        <v>44</v>
      </c>
      <c r="E45" s="15" t="s">
        <v>54</v>
      </c>
    </row>
    <row r="46" customFormat="false" ht="15" hidden="false" customHeight="true" outlineLevel="0" collapsed="false">
      <c r="B46" s="13" t="s">
        <v>55</v>
      </c>
      <c r="C46" s="13" t="s">
        <v>56</v>
      </c>
      <c r="D46" s="14" t="s">
        <v>44</v>
      </c>
      <c r="E46" s="15"/>
    </row>
    <row r="47" customFormat="false" ht="15" hidden="false" customHeight="true" outlineLevel="0" collapsed="false">
      <c r="B47" s="13" t="s">
        <v>57</v>
      </c>
      <c r="C47" s="13" t="s">
        <v>43</v>
      </c>
      <c r="D47" s="14" t="s">
        <v>44</v>
      </c>
      <c r="E47" s="15" t="s">
        <v>58</v>
      </c>
    </row>
    <row r="48" customFormat="false" ht="15" hidden="false" customHeight="true" outlineLevel="0" collapsed="false">
      <c r="B48" s="13" t="s">
        <v>59</v>
      </c>
      <c r="C48" s="13" t="s">
        <v>43</v>
      </c>
      <c r="D48" s="14" t="s">
        <v>44</v>
      </c>
      <c r="E48" s="15"/>
    </row>
    <row r="49" customFormat="false" ht="15" hidden="false" customHeight="true" outlineLevel="0" collapsed="false">
      <c r="B49" s="13" t="s">
        <v>60</v>
      </c>
      <c r="C49" s="13" t="s">
        <v>61</v>
      </c>
      <c r="D49" s="14" t="s">
        <v>44</v>
      </c>
      <c r="E49" s="15" t="s">
        <v>62</v>
      </c>
    </row>
    <row r="50" customFormat="false" ht="15" hidden="false" customHeight="true" outlineLevel="0" collapsed="false">
      <c r="B50" s="13" t="s">
        <v>63</v>
      </c>
      <c r="C50" s="13" t="s">
        <v>61</v>
      </c>
      <c r="D50" s="14" t="s">
        <v>44</v>
      </c>
      <c r="E50" s="15"/>
    </row>
    <row r="51" customFormat="false" ht="15" hidden="false" customHeight="true" outlineLevel="0" collapsed="false">
      <c r="B51" s="13" t="s">
        <v>64</v>
      </c>
      <c r="C51" s="13" t="s">
        <v>61</v>
      </c>
      <c r="D51" s="14" t="s">
        <v>44</v>
      </c>
      <c r="E51" s="15" t="s">
        <v>65</v>
      </c>
    </row>
    <row r="52" customFormat="false" ht="15" hidden="false" customHeight="true" outlineLevel="0" collapsed="false">
      <c r="B52" s="13" t="s">
        <v>66</v>
      </c>
      <c r="C52" s="13" t="s">
        <v>61</v>
      </c>
      <c r="D52" s="14" t="s">
        <v>44</v>
      </c>
      <c r="E52" s="15" t="s">
        <v>67</v>
      </c>
    </row>
    <row r="53" customFormat="false" ht="15" hidden="false" customHeight="true" outlineLevel="0" collapsed="false">
      <c r="B53" s="13" t="s">
        <v>68</v>
      </c>
      <c r="C53" s="13" t="s">
        <v>43</v>
      </c>
      <c r="D53" s="14" t="s">
        <v>44</v>
      </c>
      <c r="E53" s="15" t="s">
        <v>69</v>
      </c>
    </row>
    <row r="54" customFormat="false" ht="15" hidden="false" customHeight="true" outlineLevel="0" collapsed="false">
      <c r="B54" s="13" t="s">
        <v>70</v>
      </c>
      <c r="C54" s="13" t="s">
        <v>71</v>
      </c>
      <c r="D54" s="14" t="s">
        <v>44</v>
      </c>
      <c r="E54" s="15" t="s">
        <v>72</v>
      </c>
    </row>
    <row r="55" customFormat="false" ht="15" hidden="false" customHeight="true" outlineLevel="0" collapsed="false">
      <c r="B55" s="16" t="s">
        <v>73</v>
      </c>
      <c r="C55" s="16" t="s">
        <v>43</v>
      </c>
      <c r="D55" s="17" t="s">
        <v>74</v>
      </c>
      <c r="E55" s="18" t="s">
        <v>75</v>
      </c>
    </row>
    <row r="56" customFormat="false" ht="15" hidden="false" customHeight="true" outlineLevel="0" collapsed="false">
      <c r="B56" s="13" t="s">
        <v>76</v>
      </c>
      <c r="C56" s="13" t="s">
        <v>71</v>
      </c>
      <c r="D56" s="14" t="s">
        <v>44</v>
      </c>
      <c r="E56" s="15" t="s">
        <v>77</v>
      </c>
    </row>
    <row r="57" customFormat="false" ht="15" hidden="false" customHeight="true" outlineLevel="0" collapsed="false">
      <c r="B57" s="13" t="s">
        <v>78</v>
      </c>
      <c r="C57" s="13" t="s">
        <v>61</v>
      </c>
      <c r="D57" s="14" t="s">
        <v>44</v>
      </c>
      <c r="E57" s="15" t="s">
        <v>79</v>
      </c>
    </row>
    <row r="58" customFormat="false" ht="15" hidden="false" customHeight="true" outlineLevel="0" collapsed="false">
      <c r="B58" s="13" t="s">
        <v>80</v>
      </c>
      <c r="C58" s="13" t="s">
        <v>61</v>
      </c>
      <c r="D58" s="14" t="s">
        <v>44</v>
      </c>
      <c r="E58" s="15" t="s">
        <v>81</v>
      </c>
    </row>
    <row r="59" customFormat="false" ht="15" hidden="false" customHeight="true" outlineLevel="0" collapsed="false">
      <c r="B59" s="16" t="s">
        <v>82</v>
      </c>
      <c r="C59" s="16" t="s">
        <v>43</v>
      </c>
      <c r="D59" s="17" t="s">
        <v>74</v>
      </c>
      <c r="E59" s="18" t="s">
        <v>83</v>
      </c>
    </row>
    <row r="60" customFormat="false" ht="15" hidden="false" customHeight="true" outlineLevel="0" collapsed="false">
      <c r="B60" s="16" t="s">
        <v>84</v>
      </c>
      <c r="C60" s="16" t="s">
        <v>43</v>
      </c>
      <c r="D60" s="17" t="s">
        <v>74</v>
      </c>
      <c r="E60" s="18" t="s">
        <v>85</v>
      </c>
    </row>
    <row r="61" customFormat="false" ht="15" hidden="false" customHeight="true" outlineLevel="0" collapsed="false">
      <c r="B61" s="16" t="s">
        <v>86</v>
      </c>
      <c r="C61" s="16" t="s">
        <v>43</v>
      </c>
      <c r="D61" s="17" t="s">
        <v>74</v>
      </c>
      <c r="E61" s="18" t="s">
        <v>87</v>
      </c>
    </row>
    <row r="62" customFormat="false" ht="15" hidden="false" customHeight="true" outlineLevel="0" collapsed="false">
      <c r="B62" s="13" t="s">
        <v>88</v>
      </c>
      <c r="C62" s="13" t="s">
        <v>43</v>
      </c>
      <c r="D62" s="14" t="s">
        <v>44</v>
      </c>
      <c r="E62" s="15"/>
    </row>
    <row r="63" customFormat="false" ht="15" hidden="false" customHeight="true" outlineLevel="0" collapsed="false">
      <c r="B63" s="13" t="s">
        <v>89</v>
      </c>
      <c r="C63" s="13" t="s">
        <v>43</v>
      </c>
      <c r="D63" s="14" t="s">
        <v>44</v>
      </c>
      <c r="E63" s="15" t="s">
        <v>90</v>
      </c>
    </row>
    <row r="64" customFormat="false" ht="15" hidden="false" customHeight="true" outlineLevel="0" collapsed="false">
      <c r="B64" s="13" t="s">
        <v>91</v>
      </c>
      <c r="C64" s="13" t="s">
        <v>56</v>
      </c>
      <c r="D64" s="14" t="s">
        <v>44</v>
      </c>
      <c r="E64" s="15"/>
    </row>
    <row r="65" customFormat="false" ht="15" hidden="false" customHeight="true" outlineLevel="0" collapsed="false">
      <c r="B65" s="13" t="s">
        <v>92</v>
      </c>
      <c r="C65" s="13" t="s">
        <v>56</v>
      </c>
      <c r="D65" s="14" t="s">
        <v>44</v>
      </c>
      <c r="E65" s="15"/>
    </row>
    <row r="66" customFormat="false" ht="15" hidden="false" customHeight="true" outlineLevel="0" collapsed="false">
      <c r="B66" s="16" t="s">
        <v>93</v>
      </c>
      <c r="C66" s="16" t="s">
        <v>43</v>
      </c>
      <c r="D66" s="17" t="s">
        <v>74</v>
      </c>
      <c r="E66" s="18" t="s">
        <v>94</v>
      </c>
    </row>
    <row r="67" customFormat="false" ht="15" hidden="false" customHeight="true" outlineLevel="0" collapsed="false">
      <c r="B67" s="16" t="s">
        <v>95</v>
      </c>
      <c r="C67" s="16" t="s">
        <v>43</v>
      </c>
      <c r="D67" s="17" t="s">
        <v>74</v>
      </c>
      <c r="E67" s="18" t="s">
        <v>96</v>
      </c>
    </row>
    <row r="68" customFormat="false" ht="15" hidden="false" customHeight="true" outlineLevel="0" collapsed="false">
      <c r="B68" s="13" t="s">
        <v>97</v>
      </c>
      <c r="C68" s="13" t="s">
        <v>71</v>
      </c>
      <c r="D68" s="14" t="s">
        <v>44</v>
      </c>
      <c r="E68" s="15" t="s">
        <v>98</v>
      </c>
    </row>
    <row r="69" customFormat="false" ht="15" hidden="false" customHeight="true" outlineLevel="0" collapsed="false">
      <c r="B69" s="16" t="s">
        <v>99</v>
      </c>
      <c r="C69" s="16" t="s">
        <v>43</v>
      </c>
      <c r="D69" s="17" t="s">
        <v>74</v>
      </c>
      <c r="E69" s="18" t="s">
        <v>100</v>
      </c>
    </row>
    <row r="70" customFormat="false" ht="15" hidden="false" customHeight="true" outlineLevel="0" collapsed="false">
      <c r="B70" s="13" t="s">
        <v>101</v>
      </c>
      <c r="C70" s="13" t="s">
        <v>43</v>
      </c>
      <c r="D70" s="14" t="s">
        <v>44</v>
      </c>
      <c r="E70" s="15" t="s">
        <v>102</v>
      </c>
    </row>
  </sheetData>
  <mergeCells count="24">
    <mergeCell ref="C4:E4"/>
    <mergeCell ref="C5:E5"/>
    <mergeCell ref="C6:E6"/>
    <mergeCell ref="C7:E7"/>
    <mergeCell ref="C10:E10"/>
    <mergeCell ref="C11:E11"/>
    <mergeCell ref="C12:E12"/>
    <mergeCell ref="C13:E13"/>
    <mergeCell ref="C14:E14"/>
    <mergeCell ref="C15:E15"/>
    <mergeCell ref="C16:E16"/>
    <mergeCell ref="C19:E19"/>
    <mergeCell ref="C20:E20"/>
    <mergeCell ref="C21:E21"/>
    <mergeCell ref="C22:E22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7" min="6" style="1" width="18"/>
    <col collapsed="false" customWidth="true" hidden="false" outlineLevel="0" max="9" min="8" style="1" width="24"/>
    <col collapsed="false" customWidth="true" hidden="false" outlineLevel="0" max="10" min="10" style="1" width="14"/>
    <col collapsed="false" customWidth="true" hidden="false" outlineLevel="0" max="11" min="11" style="1" width="26"/>
    <col collapsed="false" customWidth="true" hidden="false" outlineLevel="0" max="12" min="12" style="1" width="16"/>
    <col collapsed="false" customWidth="true" hidden="false" outlineLevel="0" max="14" min="13" style="1" width="14"/>
    <col collapsed="false" customWidth="true" hidden="false" outlineLevel="0" max="15" min="15" style="1" width="12"/>
    <col collapsed="false" customWidth="true" hidden="false" outlineLevel="0" max="16" min="16" style="1" width="13"/>
    <col collapsed="false" customWidth="true" hidden="false" outlineLevel="0" max="17" min="17" style="1" width="18"/>
    <col collapsed="false" customWidth="true" hidden="false" outlineLevel="0" max="18" min="18" style="1" width="16"/>
    <col collapsed="false" customWidth="true" hidden="false" outlineLevel="0" max="19" min="19" style="1" width="18"/>
    <col collapsed="false" customWidth="true" hidden="false" outlineLevel="0" max="20" min="20" style="1" width="16"/>
    <col collapsed="false" customWidth="true" hidden="false" outlineLevel="0" max="21" min="21" style="1" width="14"/>
    <col collapsed="false" customWidth="true" hidden="false" outlineLevel="0" max="22" min="22" style="1" width="12"/>
    <col collapsed="false" customWidth="true" hidden="false" outlineLevel="0" max="24" min="23" style="1" width="18"/>
    <col collapsed="false" customWidth="true" hidden="false" outlineLevel="0" max="25" min="25" style="1" width="20"/>
    <col collapsed="false" customWidth="true" hidden="false" outlineLevel="0" max="26" min="26" style="1" width="28"/>
    <col collapsed="false" customWidth="true" hidden="false" outlineLevel="0" max="27" min="27" style="1" width="16"/>
    <col collapsed="false" customWidth="true" hidden="false" outlineLevel="0" max="30" min="28" style="1" width="14"/>
    <col collapsed="false" customWidth="true" hidden="false" outlineLevel="0" max="31" min="31" style="1" width="13"/>
    <col collapsed="false" customWidth="true" hidden="false" outlineLevel="0" max="33" min="32" style="1" width="18"/>
    <col collapsed="false" customWidth="true" hidden="false" outlineLevel="0" max="34" min="34" style="1" width="26"/>
  </cols>
  <sheetData>
    <row r="1" customFormat="false" ht="15" hidden="false" customHeight="true" outlineLevel="0" collapsed="false">
      <c r="A1" s="19" t="s">
        <v>103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 customFormat="false" ht="15" hidden="false" customHeight="true" outlineLevel="0" collapsed="false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customFormat="false" ht="15" hidden="false" customHeight="true" outlineLevel="0" collapsed="false">
      <c r="A3" s="3" t="s">
        <v>104</v>
      </c>
      <c r="B3" s="21" t="n">
        <v>46295</v>
      </c>
      <c r="C3" s="22" t="s">
        <v>105</v>
      </c>
      <c r="D3" s="3" t="s">
        <v>106</v>
      </c>
      <c r="E3" s="23"/>
    </row>
    <row r="4" customFormat="false" ht="15" hidden="false" customHeight="true" outlineLevel="0" collapsed="false">
      <c r="A4" s="24" t="s">
        <v>107</v>
      </c>
    </row>
    <row r="6" customFormat="false" ht="33.75" hidden="false" customHeight="true" outlineLevel="0" collapsed="false">
      <c r="A6" s="25" t="s">
        <v>42</v>
      </c>
      <c r="B6" s="25" t="s">
        <v>45</v>
      </c>
      <c r="C6" s="25" t="s">
        <v>46</v>
      </c>
      <c r="D6" s="25" t="s">
        <v>47</v>
      </c>
      <c r="E6" s="25" t="s">
        <v>48</v>
      </c>
      <c r="F6" s="25" t="s">
        <v>49</v>
      </c>
      <c r="G6" s="25" t="s">
        <v>50</v>
      </c>
      <c r="H6" s="25" t="s">
        <v>52</v>
      </c>
      <c r="I6" s="25" t="s">
        <v>53</v>
      </c>
      <c r="J6" s="25" t="s">
        <v>55</v>
      </c>
      <c r="K6" s="25" t="s">
        <v>57</v>
      </c>
      <c r="L6" s="25" t="s">
        <v>59</v>
      </c>
      <c r="M6" s="25" t="s">
        <v>60</v>
      </c>
      <c r="N6" s="25" t="s">
        <v>63</v>
      </c>
      <c r="O6" s="25" t="s">
        <v>64</v>
      </c>
      <c r="P6" s="25" t="s">
        <v>66</v>
      </c>
      <c r="Q6" s="25" t="s">
        <v>68</v>
      </c>
      <c r="R6" s="25" t="s">
        <v>70</v>
      </c>
      <c r="S6" s="26" t="s">
        <v>73</v>
      </c>
      <c r="T6" s="25" t="s">
        <v>76</v>
      </c>
      <c r="U6" s="25" t="s">
        <v>78</v>
      </c>
      <c r="V6" s="25" t="s">
        <v>80</v>
      </c>
      <c r="W6" s="26" t="s">
        <v>82</v>
      </c>
      <c r="X6" s="26" t="s">
        <v>84</v>
      </c>
      <c r="Y6" s="26" t="s">
        <v>86</v>
      </c>
      <c r="Z6" s="25" t="s">
        <v>88</v>
      </c>
      <c r="AA6" s="25" t="s">
        <v>89</v>
      </c>
      <c r="AB6" s="25" t="s">
        <v>91</v>
      </c>
      <c r="AC6" s="25" t="s">
        <v>92</v>
      </c>
      <c r="AD6" s="26" t="s">
        <v>93</v>
      </c>
      <c r="AE6" s="26" t="s">
        <v>95</v>
      </c>
      <c r="AF6" s="25" t="s">
        <v>97</v>
      </c>
      <c r="AG6" s="26" t="s">
        <v>99</v>
      </c>
      <c r="AH6" s="25" t="s">
        <v>101</v>
      </c>
    </row>
    <row r="7" customFormat="false" ht="15" hidden="false" customHeight="true" outlineLevel="0" collapsed="false">
      <c r="A7" s="27" t="s">
        <v>108</v>
      </c>
      <c r="B7" s="27" t="s">
        <v>109</v>
      </c>
      <c r="C7" s="27" t="s">
        <v>110</v>
      </c>
      <c r="D7" s="27" t="s">
        <v>111</v>
      </c>
      <c r="E7" s="27" t="s">
        <v>112</v>
      </c>
      <c r="F7" s="27" t="s">
        <v>113</v>
      </c>
      <c r="G7" s="27" t="s">
        <v>114</v>
      </c>
      <c r="H7" s="27" t="s">
        <v>115</v>
      </c>
      <c r="I7" s="27" t="s">
        <v>116</v>
      </c>
      <c r="J7" s="28" t="s">
        <v>117</v>
      </c>
      <c r="K7" s="27" t="s">
        <v>118</v>
      </c>
      <c r="L7" s="27" t="s">
        <v>119</v>
      </c>
      <c r="M7" s="29" t="n">
        <v>3125</v>
      </c>
      <c r="N7" s="29" t="n">
        <v>1070</v>
      </c>
      <c r="O7" s="27" t="n">
        <v>20</v>
      </c>
      <c r="P7" s="27" t="n">
        <v>70</v>
      </c>
      <c r="Q7" s="27" t="s">
        <v>120</v>
      </c>
      <c r="R7" s="30" t="n">
        <v>697878</v>
      </c>
      <c r="S7" s="30" t="n">
        <f aca="false">IF(OR($M7="",$R7=""),"",$M7*$R7)</f>
        <v>2180868750</v>
      </c>
      <c r="T7" s="30" t="n">
        <v>1886216</v>
      </c>
      <c r="U7" s="31" t="n">
        <v>0.2043</v>
      </c>
      <c r="V7" s="32" t="n">
        <v>0.95</v>
      </c>
      <c r="W7" s="30" t="n">
        <f aca="false">IF(OR($T7="",$U7="",$V7=""),"",$T7*(1-$U7)*$V7)</f>
        <v>1425818.96764</v>
      </c>
      <c r="X7" s="30" t="n">
        <f aca="false">IF(OR($N7="",$W7=""),"",$N7*$W7)</f>
        <v>1525626295.3748</v>
      </c>
      <c r="Y7" s="30" t="n">
        <f aca="false">IF($S7="","",$S7+IF($X7="",0,$X7))</f>
        <v>3706495045.3748</v>
      </c>
      <c r="Z7" s="27" t="s">
        <v>121</v>
      </c>
      <c r="AA7" s="27" t="s">
        <v>122</v>
      </c>
      <c r="AB7" s="28" t="s">
        <v>123</v>
      </c>
      <c r="AC7" s="28" t="s">
        <v>124</v>
      </c>
      <c r="AD7" s="28" t="n">
        <f aca="false">IF($AC7="","",$AC7+365)</f>
        <v>46655</v>
      </c>
      <c r="AE7" s="27" t="n">
        <f aca="false">IF($AD7="","",$AD7-$B$3)</f>
        <v>360</v>
      </c>
      <c r="AF7" s="30" t="n">
        <v>800000000</v>
      </c>
      <c r="AG7" s="30" t="n">
        <f aca="false">IF(OR($Y7="",$AF7=""),"",$Y7-$AF7)</f>
        <v>2906495045.3748</v>
      </c>
      <c r="AH7" s="27" t="s">
        <v>125</v>
      </c>
    </row>
    <row r="8" customFormat="false" ht="15" hidden="false" customHeight="true" outlineLevel="0" collapsed="false">
      <c r="A8" s="33"/>
      <c r="B8" s="33"/>
      <c r="C8" s="33"/>
      <c r="D8" s="33"/>
      <c r="E8" s="33"/>
      <c r="F8" s="33"/>
      <c r="G8" s="33"/>
      <c r="H8" s="33"/>
      <c r="I8" s="33"/>
      <c r="J8" s="34"/>
      <c r="K8" s="33"/>
      <c r="L8" s="33"/>
      <c r="M8" s="35"/>
      <c r="N8" s="35"/>
      <c r="O8" s="33"/>
      <c r="P8" s="33"/>
      <c r="Q8" s="33"/>
      <c r="R8" s="36"/>
      <c r="S8" s="37" t="str">
        <f aca="false">IF(OR($M8="",$R8=""),"",$M8*$R8)</f>
        <v/>
      </c>
      <c r="T8" s="36"/>
      <c r="U8" s="38"/>
      <c r="V8" s="39"/>
      <c r="W8" s="37" t="str">
        <f aca="false">IF(OR($T8="",$U8="",$V8=""),"",$T8*(1-$U8)*$V8)</f>
        <v/>
      </c>
      <c r="X8" s="37" t="str">
        <f aca="false">IF(OR($N8="",$W8=""),"",$N8*$W8)</f>
        <v/>
      </c>
      <c r="Y8" s="37" t="str">
        <f aca="false">IF($S8="","",$S8+IF($X8="",0,$X8))</f>
        <v/>
      </c>
      <c r="Z8" s="33"/>
      <c r="AA8" s="33"/>
      <c r="AB8" s="34"/>
      <c r="AC8" s="34"/>
      <c r="AD8" s="40" t="str">
        <f aca="false">IF($AC8="","",$AC8+365)</f>
        <v/>
      </c>
      <c r="AE8" s="16" t="str">
        <f aca="false">IF($AD8="","",$AD8-$B$3)</f>
        <v/>
      </c>
      <c r="AF8" s="36"/>
      <c r="AG8" s="37" t="str">
        <f aca="false">IF(OR($Y8="",$AF8=""),"",$Y8-$AF8)</f>
        <v/>
      </c>
      <c r="AH8" s="33"/>
    </row>
    <row r="9" customFormat="false" ht="15" hidden="false" customHeight="true" outlineLevel="0" collapsed="false">
      <c r="A9" s="33"/>
      <c r="B9" s="33"/>
      <c r="C9" s="33"/>
      <c r="D9" s="33"/>
      <c r="E9" s="33"/>
      <c r="F9" s="33"/>
      <c r="G9" s="33"/>
      <c r="H9" s="33"/>
      <c r="I9" s="33"/>
      <c r="J9" s="34"/>
      <c r="K9" s="33"/>
      <c r="L9" s="33"/>
      <c r="M9" s="35"/>
      <c r="N9" s="35"/>
      <c r="O9" s="33"/>
      <c r="P9" s="33"/>
      <c r="Q9" s="33"/>
      <c r="R9" s="36"/>
      <c r="S9" s="37" t="str">
        <f aca="false">IF(OR($M9="",$R9=""),"",$M9*$R9)</f>
        <v/>
      </c>
      <c r="T9" s="36"/>
      <c r="U9" s="38"/>
      <c r="V9" s="39"/>
      <c r="W9" s="37" t="str">
        <f aca="false">IF(OR($T9="",$U9="",$V9=""),"",$T9*(1-$U9)*$V9)</f>
        <v/>
      </c>
      <c r="X9" s="37" t="str">
        <f aca="false">IF(OR($N9="",$W9=""),"",$N9*$W9)</f>
        <v/>
      </c>
      <c r="Y9" s="37" t="str">
        <f aca="false">IF($S9="","",$S9+IF($X9="",0,$X9))</f>
        <v/>
      </c>
      <c r="Z9" s="33"/>
      <c r="AA9" s="33"/>
      <c r="AB9" s="34"/>
      <c r="AC9" s="34"/>
      <c r="AD9" s="40" t="str">
        <f aca="false">IF($AC9="","",$AC9+365)</f>
        <v/>
      </c>
      <c r="AE9" s="16" t="str">
        <f aca="false">IF($AD9="","",$AD9-$B$3)</f>
        <v/>
      </c>
      <c r="AF9" s="36"/>
      <c r="AG9" s="37" t="str">
        <f aca="false">IF(OR($Y9="",$AF9=""),"",$Y9-$AF9)</f>
        <v/>
      </c>
      <c r="AH9" s="33"/>
    </row>
    <row r="10" customFormat="false" ht="15" hidden="false" customHeight="true" outlineLevel="0" collapsed="false">
      <c r="A10" s="33"/>
      <c r="B10" s="33"/>
      <c r="C10" s="33"/>
      <c r="D10" s="33"/>
      <c r="E10" s="33"/>
      <c r="F10" s="33"/>
      <c r="G10" s="33"/>
      <c r="H10" s="33"/>
      <c r="I10" s="33"/>
      <c r="J10" s="34"/>
      <c r="K10" s="33"/>
      <c r="L10" s="33"/>
      <c r="M10" s="35"/>
      <c r="N10" s="35"/>
      <c r="O10" s="33"/>
      <c r="P10" s="33"/>
      <c r="Q10" s="33"/>
      <c r="R10" s="36"/>
      <c r="S10" s="37" t="str">
        <f aca="false">IF(OR($M10="",$R10=""),"",$M10*$R10)</f>
        <v/>
      </c>
      <c r="T10" s="36"/>
      <c r="U10" s="38"/>
      <c r="V10" s="39"/>
      <c r="W10" s="37" t="str">
        <f aca="false">IF(OR($T10="",$U10="",$V10=""),"",$T10*(1-$U10)*$V10)</f>
        <v/>
      </c>
      <c r="X10" s="37" t="str">
        <f aca="false">IF(OR($N10="",$W10=""),"",$N10*$W10)</f>
        <v/>
      </c>
      <c r="Y10" s="37" t="str">
        <f aca="false">IF($S10="","",$S10+IF($X10="",0,$X10))</f>
        <v/>
      </c>
      <c r="Z10" s="33"/>
      <c r="AA10" s="33"/>
      <c r="AB10" s="34"/>
      <c r="AC10" s="34"/>
      <c r="AD10" s="40" t="str">
        <f aca="false">IF($AC10="","",$AC10+365)</f>
        <v/>
      </c>
      <c r="AE10" s="16" t="str">
        <f aca="false">IF($AD10="","",$AD10-$B$3)</f>
        <v/>
      </c>
      <c r="AF10" s="36"/>
      <c r="AG10" s="37" t="str">
        <f aca="false">IF(OR($Y10="",$AF10=""),"",$Y10-$AF10)</f>
        <v/>
      </c>
      <c r="AH10" s="33"/>
    </row>
    <row r="11" customFormat="false" ht="15" hidden="false" customHeight="true" outlineLevel="0" collapsed="false">
      <c r="A11" s="33"/>
      <c r="B11" s="33"/>
      <c r="C11" s="33"/>
      <c r="D11" s="33"/>
      <c r="E11" s="33"/>
      <c r="F11" s="33"/>
      <c r="G11" s="33"/>
      <c r="H11" s="33"/>
      <c r="I11" s="33"/>
      <c r="J11" s="34"/>
      <c r="K11" s="33"/>
      <c r="L11" s="33"/>
      <c r="M11" s="35"/>
      <c r="N11" s="35"/>
      <c r="O11" s="33"/>
      <c r="P11" s="33"/>
      <c r="Q11" s="33"/>
      <c r="R11" s="36"/>
      <c r="S11" s="37" t="str">
        <f aca="false">IF(OR($M11="",$R11=""),"",$M11*$R11)</f>
        <v/>
      </c>
      <c r="T11" s="36"/>
      <c r="U11" s="38"/>
      <c r="V11" s="39"/>
      <c r="W11" s="37" t="str">
        <f aca="false">IF(OR($T11="",$U11="",$V11=""),"",$T11*(1-$U11)*$V11)</f>
        <v/>
      </c>
      <c r="X11" s="37" t="str">
        <f aca="false">IF(OR($N11="",$W11=""),"",$N11*$W11)</f>
        <v/>
      </c>
      <c r="Y11" s="37" t="str">
        <f aca="false">IF($S11="","",$S11+IF($X11="",0,$X11))</f>
        <v/>
      </c>
      <c r="Z11" s="33"/>
      <c r="AA11" s="33"/>
      <c r="AB11" s="34"/>
      <c r="AC11" s="34"/>
      <c r="AD11" s="40" t="str">
        <f aca="false">IF($AC11="","",$AC11+365)</f>
        <v/>
      </c>
      <c r="AE11" s="16" t="str">
        <f aca="false">IF($AD11="","",$AD11-$B$3)</f>
        <v/>
      </c>
      <c r="AF11" s="36"/>
      <c r="AG11" s="37" t="str">
        <f aca="false">IF(OR($Y11="",$AF11=""),"",$Y11-$AF11)</f>
        <v/>
      </c>
      <c r="AH11" s="33"/>
    </row>
    <row r="12" customFormat="false" ht="15" hidden="false" customHeight="true" outlineLevel="0" collapsed="false">
      <c r="A12" s="33"/>
      <c r="B12" s="33"/>
      <c r="C12" s="33"/>
      <c r="D12" s="33"/>
      <c r="E12" s="33"/>
      <c r="F12" s="33"/>
      <c r="G12" s="33"/>
      <c r="H12" s="33"/>
      <c r="I12" s="33"/>
      <c r="J12" s="34"/>
      <c r="K12" s="33"/>
      <c r="L12" s="33"/>
      <c r="M12" s="35"/>
      <c r="N12" s="35"/>
      <c r="O12" s="33"/>
      <c r="P12" s="33"/>
      <c r="Q12" s="33"/>
      <c r="R12" s="36"/>
      <c r="S12" s="37" t="str">
        <f aca="false">IF(OR($M12="",$R12=""),"",$M12*$R12)</f>
        <v/>
      </c>
      <c r="T12" s="36"/>
      <c r="U12" s="38"/>
      <c r="V12" s="39"/>
      <c r="W12" s="37" t="str">
        <f aca="false">IF(OR($T12="",$U12="",$V12=""),"",$T12*(1-$U12)*$V12)</f>
        <v/>
      </c>
      <c r="X12" s="37" t="str">
        <f aca="false">IF(OR($N12="",$W12=""),"",$N12*$W12)</f>
        <v/>
      </c>
      <c r="Y12" s="37" t="str">
        <f aca="false">IF($S12="","",$S12+IF($X12="",0,$X12))</f>
        <v/>
      </c>
      <c r="Z12" s="33"/>
      <c r="AA12" s="33"/>
      <c r="AB12" s="34"/>
      <c r="AC12" s="34"/>
      <c r="AD12" s="40" t="str">
        <f aca="false">IF($AC12="","",$AC12+365)</f>
        <v/>
      </c>
      <c r="AE12" s="16" t="str">
        <f aca="false">IF($AD12="","",$AD12-$B$3)</f>
        <v/>
      </c>
      <c r="AF12" s="36"/>
      <c r="AG12" s="37" t="str">
        <f aca="false">IF(OR($Y12="",$AF12=""),"",$Y12-$AF12)</f>
        <v/>
      </c>
      <c r="AH12" s="33"/>
    </row>
    <row r="13" customFormat="false" ht="15" hidden="false" customHeight="true" outlineLevel="0" collapsed="false">
      <c r="A13" s="33"/>
      <c r="B13" s="33"/>
      <c r="C13" s="33"/>
      <c r="D13" s="33"/>
      <c r="E13" s="33"/>
      <c r="F13" s="33"/>
      <c r="G13" s="33"/>
      <c r="H13" s="33"/>
      <c r="I13" s="33"/>
      <c r="J13" s="34"/>
      <c r="K13" s="33"/>
      <c r="L13" s="33"/>
      <c r="M13" s="35"/>
      <c r="N13" s="35"/>
      <c r="O13" s="33"/>
      <c r="P13" s="33"/>
      <c r="Q13" s="33"/>
      <c r="R13" s="36"/>
      <c r="S13" s="37" t="str">
        <f aca="false">IF(OR($M13="",$R13=""),"",$M13*$R13)</f>
        <v/>
      </c>
      <c r="T13" s="36"/>
      <c r="U13" s="38"/>
      <c r="V13" s="39"/>
      <c r="W13" s="37" t="str">
        <f aca="false">IF(OR($T13="",$U13="",$V13=""),"",$T13*(1-$U13)*$V13)</f>
        <v/>
      </c>
      <c r="X13" s="37" t="str">
        <f aca="false">IF(OR($N13="",$W13=""),"",$N13*$W13)</f>
        <v/>
      </c>
      <c r="Y13" s="37" t="str">
        <f aca="false">IF($S13="","",$S13+IF($X13="",0,$X13))</f>
        <v/>
      </c>
      <c r="Z13" s="33"/>
      <c r="AA13" s="33"/>
      <c r="AB13" s="34"/>
      <c r="AC13" s="34"/>
      <c r="AD13" s="40" t="str">
        <f aca="false">IF($AC13="","",$AC13+365)</f>
        <v/>
      </c>
      <c r="AE13" s="16" t="str">
        <f aca="false">IF($AD13="","",$AD13-$B$3)</f>
        <v/>
      </c>
      <c r="AF13" s="36"/>
      <c r="AG13" s="37" t="str">
        <f aca="false">IF(OR($Y13="",$AF13=""),"",$Y13-$AF13)</f>
        <v/>
      </c>
      <c r="AH13" s="33"/>
    </row>
    <row r="14" customFormat="false" ht="15" hidden="false" customHeight="true" outlineLevel="0" collapsed="false">
      <c r="A14" s="33"/>
      <c r="B14" s="33"/>
      <c r="C14" s="33"/>
      <c r="D14" s="33"/>
      <c r="E14" s="33"/>
      <c r="F14" s="33"/>
      <c r="G14" s="33"/>
      <c r="H14" s="33"/>
      <c r="I14" s="33"/>
      <c r="J14" s="34"/>
      <c r="K14" s="33"/>
      <c r="L14" s="33"/>
      <c r="M14" s="35"/>
      <c r="N14" s="35"/>
      <c r="O14" s="33"/>
      <c r="P14" s="33"/>
      <c r="Q14" s="33"/>
      <c r="R14" s="36"/>
      <c r="S14" s="37" t="str">
        <f aca="false">IF(OR($M14="",$R14=""),"",$M14*$R14)</f>
        <v/>
      </c>
      <c r="T14" s="36"/>
      <c r="U14" s="38"/>
      <c r="V14" s="39"/>
      <c r="W14" s="37" t="str">
        <f aca="false">IF(OR($T14="",$U14="",$V14=""),"",$T14*(1-$U14)*$V14)</f>
        <v/>
      </c>
      <c r="X14" s="37" t="str">
        <f aca="false">IF(OR($N14="",$W14=""),"",$N14*$W14)</f>
        <v/>
      </c>
      <c r="Y14" s="37" t="str">
        <f aca="false">IF($S14="","",$S14+IF($X14="",0,$X14))</f>
        <v/>
      </c>
      <c r="Z14" s="33"/>
      <c r="AA14" s="33"/>
      <c r="AB14" s="34"/>
      <c r="AC14" s="34"/>
      <c r="AD14" s="40" t="str">
        <f aca="false">IF($AC14="","",$AC14+365)</f>
        <v/>
      </c>
      <c r="AE14" s="16" t="str">
        <f aca="false">IF($AD14="","",$AD14-$B$3)</f>
        <v/>
      </c>
      <c r="AF14" s="36"/>
      <c r="AG14" s="37" t="str">
        <f aca="false">IF(OR($Y14="",$AF14=""),"",$Y14-$AF14)</f>
        <v/>
      </c>
      <c r="AH14" s="33"/>
    </row>
    <row r="15" customFormat="false" ht="15" hidden="false" customHeight="true" outlineLevel="0" collapsed="false">
      <c r="A15" s="33"/>
      <c r="B15" s="33"/>
      <c r="C15" s="33"/>
      <c r="D15" s="33"/>
      <c r="E15" s="33"/>
      <c r="F15" s="33"/>
      <c r="G15" s="33"/>
      <c r="H15" s="33"/>
      <c r="I15" s="33"/>
      <c r="J15" s="34"/>
      <c r="K15" s="33"/>
      <c r="L15" s="33"/>
      <c r="M15" s="35"/>
      <c r="N15" s="35"/>
      <c r="O15" s="33"/>
      <c r="P15" s="33"/>
      <c r="Q15" s="33"/>
      <c r="R15" s="36"/>
      <c r="S15" s="37" t="str">
        <f aca="false">IF(OR($M15="",$R15=""),"",$M15*$R15)</f>
        <v/>
      </c>
      <c r="T15" s="36"/>
      <c r="U15" s="38"/>
      <c r="V15" s="39"/>
      <c r="W15" s="37" t="str">
        <f aca="false">IF(OR($T15="",$U15="",$V15=""),"",$T15*(1-$U15)*$V15)</f>
        <v/>
      </c>
      <c r="X15" s="37" t="str">
        <f aca="false">IF(OR($N15="",$W15=""),"",$N15*$W15)</f>
        <v/>
      </c>
      <c r="Y15" s="37" t="str">
        <f aca="false">IF($S15="","",$S15+IF($X15="",0,$X15))</f>
        <v/>
      </c>
      <c r="Z15" s="33"/>
      <c r="AA15" s="33"/>
      <c r="AB15" s="34"/>
      <c r="AC15" s="34"/>
      <c r="AD15" s="40" t="str">
        <f aca="false">IF($AC15="","",$AC15+365)</f>
        <v/>
      </c>
      <c r="AE15" s="16" t="str">
        <f aca="false">IF($AD15="","",$AD15-$B$3)</f>
        <v/>
      </c>
      <c r="AF15" s="36"/>
      <c r="AG15" s="37" t="str">
        <f aca="false">IF(OR($Y15="",$AF15=""),"",$Y15-$AF15)</f>
        <v/>
      </c>
      <c r="AH15" s="33"/>
    </row>
    <row r="16" customFormat="false" ht="15" hidden="false" customHeight="true" outlineLevel="0" collapsed="false">
      <c r="A16" s="33"/>
      <c r="B16" s="33"/>
      <c r="C16" s="33"/>
      <c r="D16" s="33"/>
      <c r="E16" s="33"/>
      <c r="F16" s="33"/>
      <c r="G16" s="33"/>
      <c r="H16" s="33"/>
      <c r="I16" s="33"/>
      <c r="J16" s="34"/>
      <c r="K16" s="33"/>
      <c r="L16" s="33"/>
      <c r="M16" s="35"/>
      <c r="N16" s="35"/>
      <c r="O16" s="33"/>
      <c r="P16" s="33"/>
      <c r="Q16" s="33"/>
      <c r="R16" s="36"/>
      <c r="S16" s="37" t="str">
        <f aca="false">IF(OR($M16="",$R16=""),"",$M16*$R16)</f>
        <v/>
      </c>
      <c r="T16" s="36"/>
      <c r="U16" s="38"/>
      <c r="V16" s="39"/>
      <c r="W16" s="37" t="str">
        <f aca="false">IF(OR($T16="",$U16="",$V16=""),"",$T16*(1-$U16)*$V16)</f>
        <v/>
      </c>
      <c r="X16" s="37" t="str">
        <f aca="false">IF(OR($N16="",$W16=""),"",$N16*$W16)</f>
        <v/>
      </c>
      <c r="Y16" s="37" t="str">
        <f aca="false">IF($S16="","",$S16+IF($X16="",0,$X16))</f>
        <v/>
      </c>
      <c r="Z16" s="33"/>
      <c r="AA16" s="33"/>
      <c r="AB16" s="34"/>
      <c r="AC16" s="34"/>
      <c r="AD16" s="40" t="str">
        <f aca="false">IF($AC16="","",$AC16+365)</f>
        <v/>
      </c>
      <c r="AE16" s="16" t="str">
        <f aca="false">IF($AD16="","",$AD16-$B$3)</f>
        <v/>
      </c>
      <c r="AF16" s="36"/>
      <c r="AG16" s="37" t="str">
        <f aca="false">IF(OR($Y16="",$AF16=""),"",$Y16-$AF16)</f>
        <v/>
      </c>
      <c r="AH16" s="33"/>
    </row>
    <row r="17" customFormat="false" ht="15" hidden="false" customHeight="true" outlineLevel="0" collapsed="false">
      <c r="A17" s="33"/>
      <c r="B17" s="33"/>
      <c r="C17" s="33"/>
      <c r="D17" s="33"/>
      <c r="E17" s="33"/>
      <c r="F17" s="33"/>
      <c r="G17" s="33"/>
      <c r="H17" s="33"/>
      <c r="I17" s="33"/>
      <c r="J17" s="34"/>
      <c r="K17" s="33"/>
      <c r="L17" s="33"/>
      <c r="M17" s="35"/>
      <c r="N17" s="35"/>
      <c r="O17" s="33"/>
      <c r="P17" s="33"/>
      <c r="Q17" s="33"/>
      <c r="R17" s="36"/>
      <c r="S17" s="37" t="str">
        <f aca="false">IF(OR($M17="",$R17=""),"",$M17*$R17)</f>
        <v/>
      </c>
      <c r="T17" s="36"/>
      <c r="U17" s="38"/>
      <c r="V17" s="39"/>
      <c r="W17" s="37" t="str">
        <f aca="false">IF(OR($T17="",$U17="",$V17=""),"",$T17*(1-$U17)*$V17)</f>
        <v/>
      </c>
      <c r="X17" s="37" t="str">
        <f aca="false">IF(OR($N17="",$W17=""),"",$N17*$W17)</f>
        <v/>
      </c>
      <c r="Y17" s="37" t="str">
        <f aca="false">IF($S17="","",$S17+IF($X17="",0,$X17))</f>
        <v/>
      </c>
      <c r="Z17" s="33"/>
      <c r="AA17" s="33"/>
      <c r="AB17" s="34"/>
      <c r="AC17" s="34"/>
      <c r="AD17" s="40" t="str">
        <f aca="false">IF($AC17="","",$AC17+365)</f>
        <v/>
      </c>
      <c r="AE17" s="16" t="str">
        <f aca="false">IF($AD17="","",$AD17-$B$3)</f>
        <v/>
      </c>
      <c r="AF17" s="36"/>
      <c r="AG17" s="37" t="str">
        <f aca="false">IF(OR($Y17="",$AF17=""),"",$Y17-$AF17)</f>
        <v/>
      </c>
      <c r="AH17" s="33"/>
    </row>
    <row r="18" customFormat="false" ht="15" hidden="false" customHeight="true" outlineLevel="0" collapsed="false">
      <c r="A18" s="33"/>
      <c r="B18" s="33"/>
      <c r="C18" s="33"/>
      <c r="D18" s="33"/>
      <c r="E18" s="33"/>
      <c r="F18" s="33"/>
      <c r="G18" s="33"/>
      <c r="H18" s="33"/>
      <c r="I18" s="33"/>
      <c r="J18" s="34"/>
      <c r="K18" s="33"/>
      <c r="L18" s="33"/>
      <c r="M18" s="35"/>
      <c r="N18" s="35"/>
      <c r="O18" s="33"/>
      <c r="P18" s="33"/>
      <c r="Q18" s="33"/>
      <c r="R18" s="36"/>
      <c r="S18" s="37" t="str">
        <f aca="false">IF(OR($M18="",$R18=""),"",$M18*$R18)</f>
        <v/>
      </c>
      <c r="T18" s="36"/>
      <c r="U18" s="38"/>
      <c r="V18" s="39"/>
      <c r="W18" s="37" t="str">
        <f aca="false">IF(OR($T18="",$U18="",$V18=""),"",$T18*(1-$U18)*$V18)</f>
        <v/>
      </c>
      <c r="X18" s="37" t="str">
        <f aca="false">IF(OR($N18="",$W18=""),"",$N18*$W18)</f>
        <v/>
      </c>
      <c r="Y18" s="37" t="str">
        <f aca="false">IF($S18="","",$S18+IF($X18="",0,$X18))</f>
        <v/>
      </c>
      <c r="Z18" s="33"/>
      <c r="AA18" s="33"/>
      <c r="AB18" s="34"/>
      <c r="AC18" s="34"/>
      <c r="AD18" s="40" t="str">
        <f aca="false">IF($AC18="","",$AC18+365)</f>
        <v/>
      </c>
      <c r="AE18" s="16" t="str">
        <f aca="false">IF($AD18="","",$AD18-$B$3)</f>
        <v/>
      </c>
      <c r="AF18" s="36"/>
      <c r="AG18" s="37" t="str">
        <f aca="false">IF(OR($Y18="",$AF18=""),"",$Y18-$AF18)</f>
        <v/>
      </c>
      <c r="AH18" s="33"/>
    </row>
    <row r="19" customFormat="false" ht="15" hidden="false" customHeight="true" outlineLevel="0" collapsed="false">
      <c r="A19" s="33"/>
      <c r="B19" s="33"/>
      <c r="C19" s="33"/>
      <c r="D19" s="33"/>
      <c r="E19" s="33"/>
      <c r="F19" s="33"/>
      <c r="G19" s="33"/>
      <c r="H19" s="33"/>
      <c r="I19" s="33"/>
      <c r="J19" s="34"/>
      <c r="K19" s="33"/>
      <c r="L19" s="33"/>
      <c r="M19" s="35"/>
      <c r="N19" s="35"/>
      <c r="O19" s="33"/>
      <c r="P19" s="33"/>
      <c r="Q19" s="33"/>
      <c r="R19" s="36"/>
      <c r="S19" s="37" t="str">
        <f aca="false">IF(OR($M19="",$R19=""),"",$M19*$R19)</f>
        <v/>
      </c>
      <c r="T19" s="36"/>
      <c r="U19" s="38"/>
      <c r="V19" s="39"/>
      <c r="W19" s="37" t="str">
        <f aca="false">IF(OR($T19="",$U19="",$V19=""),"",$T19*(1-$U19)*$V19)</f>
        <v/>
      </c>
      <c r="X19" s="37" t="str">
        <f aca="false">IF(OR($N19="",$W19=""),"",$N19*$W19)</f>
        <v/>
      </c>
      <c r="Y19" s="37" t="str">
        <f aca="false">IF($S19="","",$S19+IF($X19="",0,$X19))</f>
        <v/>
      </c>
      <c r="Z19" s="33"/>
      <c r="AA19" s="33"/>
      <c r="AB19" s="34"/>
      <c r="AC19" s="34"/>
      <c r="AD19" s="40" t="str">
        <f aca="false">IF($AC19="","",$AC19+365)</f>
        <v/>
      </c>
      <c r="AE19" s="16" t="str">
        <f aca="false">IF($AD19="","",$AD19-$B$3)</f>
        <v/>
      </c>
      <c r="AF19" s="36"/>
      <c r="AG19" s="37" t="str">
        <f aca="false">IF(OR($Y19="",$AF19=""),"",$Y19-$AF19)</f>
        <v/>
      </c>
      <c r="AH19" s="33"/>
    </row>
    <row r="20" customFormat="false" ht="15" hidden="false" customHeight="true" outlineLevel="0" collapsed="false">
      <c r="A20" s="33"/>
      <c r="B20" s="33"/>
      <c r="C20" s="33"/>
      <c r="D20" s="33"/>
      <c r="E20" s="33"/>
      <c r="F20" s="33"/>
      <c r="G20" s="33"/>
      <c r="H20" s="33"/>
      <c r="I20" s="33"/>
      <c r="J20" s="34"/>
      <c r="K20" s="33"/>
      <c r="L20" s="33"/>
      <c r="M20" s="35"/>
      <c r="N20" s="35"/>
      <c r="O20" s="33"/>
      <c r="P20" s="33"/>
      <c r="Q20" s="33"/>
      <c r="R20" s="36"/>
      <c r="S20" s="37" t="str">
        <f aca="false">IF(OR($M20="",$R20=""),"",$M20*$R20)</f>
        <v/>
      </c>
      <c r="T20" s="36"/>
      <c r="U20" s="38"/>
      <c r="V20" s="39"/>
      <c r="W20" s="37" t="str">
        <f aca="false">IF(OR($T20="",$U20="",$V20=""),"",$T20*(1-$U20)*$V20)</f>
        <v/>
      </c>
      <c r="X20" s="37" t="str">
        <f aca="false">IF(OR($N20="",$W20=""),"",$N20*$W20)</f>
        <v/>
      </c>
      <c r="Y20" s="37" t="str">
        <f aca="false">IF($S20="","",$S20+IF($X20="",0,$X20))</f>
        <v/>
      </c>
      <c r="Z20" s="33"/>
      <c r="AA20" s="33"/>
      <c r="AB20" s="34"/>
      <c r="AC20" s="34"/>
      <c r="AD20" s="40" t="str">
        <f aca="false">IF($AC20="","",$AC20+365)</f>
        <v/>
      </c>
      <c r="AE20" s="16" t="str">
        <f aca="false">IF($AD20="","",$AD20-$B$3)</f>
        <v/>
      </c>
      <c r="AF20" s="36"/>
      <c r="AG20" s="37" t="str">
        <f aca="false">IF(OR($Y20="",$AF20=""),"",$Y20-$AF20)</f>
        <v/>
      </c>
      <c r="AH20" s="33"/>
    </row>
    <row r="21" customFormat="false" ht="15" hidden="false" customHeight="true" outlineLevel="0" collapsed="false">
      <c r="A21" s="33"/>
      <c r="B21" s="33"/>
      <c r="C21" s="33"/>
      <c r="D21" s="33"/>
      <c r="E21" s="33"/>
      <c r="F21" s="33"/>
      <c r="G21" s="33"/>
      <c r="H21" s="33"/>
      <c r="I21" s="33"/>
      <c r="J21" s="34"/>
      <c r="K21" s="33"/>
      <c r="L21" s="33"/>
      <c r="M21" s="35"/>
      <c r="N21" s="35"/>
      <c r="O21" s="33"/>
      <c r="P21" s="33"/>
      <c r="Q21" s="33"/>
      <c r="R21" s="36"/>
      <c r="S21" s="37" t="str">
        <f aca="false">IF(OR($M21="",$R21=""),"",$M21*$R21)</f>
        <v/>
      </c>
      <c r="T21" s="36"/>
      <c r="U21" s="38"/>
      <c r="V21" s="39"/>
      <c r="W21" s="37" t="str">
        <f aca="false">IF(OR($T21="",$U21="",$V21=""),"",$T21*(1-$U21)*$V21)</f>
        <v/>
      </c>
      <c r="X21" s="37" t="str">
        <f aca="false">IF(OR($N21="",$W21=""),"",$N21*$W21)</f>
        <v/>
      </c>
      <c r="Y21" s="37" t="str">
        <f aca="false">IF($S21="","",$S21+IF($X21="",0,$X21))</f>
        <v/>
      </c>
      <c r="Z21" s="33"/>
      <c r="AA21" s="33"/>
      <c r="AB21" s="34"/>
      <c r="AC21" s="34"/>
      <c r="AD21" s="40" t="str">
        <f aca="false">IF($AC21="","",$AC21+365)</f>
        <v/>
      </c>
      <c r="AE21" s="16" t="str">
        <f aca="false">IF($AD21="","",$AD21-$B$3)</f>
        <v/>
      </c>
      <c r="AF21" s="36"/>
      <c r="AG21" s="37" t="str">
        <f aca="false">IF(OR($Y21="",$AF21=""),"",$Y21-$AF21)</f>
        <v/>
      </c>
      <c r="AH21" s="33"/>
    </row>
    <row r="22" customFormat="false" ht="15" hidden="false" customHeight="true" outlineLevel="0" collapsed="false">
      <c r="A22" s="33"/>
      <c r="B22" s="33"/>
      <c r="C22" s="33"/>
      <c r="D22" s="33"/>
      <c r="E22" s="33"/>
      <c r="F22" s="33"/>
      <c r="G22" s="33"/>
      <c r="H22" s="33"/>
      <c r="I22" s="33"/>
      <c r="J22" s="34"/>
      <c r="K22" s="33"/>
      <c r="L22" s="33"/>
      <c r="M22" s="35"/>
      <c r="N22" s="35"/>
      <c r="O22" s="33"/>
      <c r="P22" s="33"/>
      <c r="Q22" s="33"/>
      <c r="R22" s="36"/>
      <c r="S22" s="37" t="str">
        <f aca="false">IF(OR($M22="",$R22=""),"",$M22*$R22)</f>
        <v/>
      </c>
      <c r="T22" s="36"/>
      <c r="U22" s="38"/>
      <c r="V22" s="39"/>
      <c r="W22" s="37" t="str">
        <f aca="false">IF(OR($T22="",$U22="",$V22=""),"",$T22*(1-$U22)*$V22)</f>
        <v/>
      </c>
      <c r="X22" s="37" t="str">
        <f aca="false">IF(OR($N22="",$W22=""),"",$N22*$W22)</f>
        <v/>
      </c>
      <c r="Y22" s="37" t="str">
        <f aca="false">IF($S22="","",$S22+IF($X22="",0,$X22))</f>
        <v/>
      </c>
      <c r="Z22" s="33"/>
      <c r="AA22" s="33"/>
      <c r="AB22" s="34"/>
      <c r="AC22" s="34"/>
      <c r="AD22" s="40" t="str">
        <f aca="false">IF($AC22="","",$AC22+365)</f>
        <v/>
      </c>
      <c r="AE22" s="16" t="str">
        <f aca="false">IF($AD22="","",$AD22-$B$3)</f>
        <v/>
      </c>
      <c r="AF22" s="36"/>
      <c r="AG22" s="37" t="str">
        <f aca="false">IF(OR($Y22="",$AF22=""),"",$Y22-$AF22)</f>
        <v/>
      </c>
      <c r="AH22" s="33"/>
    </row>
    <row r="23" customFormat="false" ht="15" hidden="false" customHeight="true" outlineLevel="0" collapsed="false">
      <c r="A23" s="33"/>
      <c r="B23" s="33"/>
      <c r="C23" s="33"/>
      <c r="D23" s="33"/>
      <c r="E23" s="33"/>
      <c r="F23" s="33"/>
      <c r="G23" s="33"/>
      <c r="H23" s="33"/>
      <c r="I23" s="33"/>
      <c r="J23" s="34"/>
      <c r="K23" s="33"/>
      <c r="L23" s="33"/>
      <c r="M23" s="35"/>
      <c r="N23" s="35"/>
      <c r="O23" s="33"/>
      <c r="P23" s="33"/>
      <c r="Q23" s="33"/>
      <c r="R23" s="36"/>
      <c r="S23" s="37" t="str">
        <f aca="false">IF(OR($M23="",$R23=""),"",$M23*$R23)</f>
        <v/>
      </c>
      <c r="T23" s="36"/>
      <c r="U23" s="38"/>
      <c r="V23" s="39"/>
      <c r="W23" s="37" t="str">
        <f aca="false">IF(OR($T23="",$U23="",$V23=""),"",$T23*(1-$U23)*$V23)</f>
        <v/>
      </c>
      <c r="X23" s="37" t="str">
        <f aca="false">IF(OR($N23="",$W23=""),"",$N23*$W23)</f>
        <v/>
      </c>
      <c r="Y23" s="37" t="str">
        <f aca="false">IF($S23="","",$S23+IF($X23="",0,$X23))</f>
        <v/>
      </c>
      <c r="Z23" s="33"/>
      <c r="AA23" s="33"/>
      <c r="AB23" s="34"/>
      <c r="AC23" s="34"/>
      <c r="AD23" s="40" t="str">
        <f aca="false">IF($AC23="","",$AC23+365)</f>
        <v/>
      </c>
      <c r="AE23" s="16" t="str">
        <f aca="false">IF($AD23="","",$AD23-$B$3)</f>
        <v/>
      </c>
      <c r="AF23" s="36"/>
      <c r="AG23" s="37" t="str">
        <f aca="false">IF(OR($Y23="",$AF23=""),"",$Y23-$AF23)</f>
        <v/>
      </c>
      <c r="AH23" s="33"/>
    </row>
    <row r="24" customFormat="false" ht="15" hidden="false" customHeight="true" outlineLevel="0" collapsed="false">
      <c r="A24" s="33"/>
      <c r="B24" s="33"/>
      <c r="C24" s="33"/>
      <c r="D24" s="33"/>
      <c r="E24" s="33"/>
      <c r="F24" s="33"/>
      <c r="G24" s="33"/>
      <c r="H24" s="33"/>
      <c r="I24" s="33"/>
      <c r="J24" s="34"/>
      <c r="K24" s="33"/>
      <c r="L24" s="33"/>
      <c r="M24" s="35"/>
      <c r="N24" s="35"/>
      <c r="O24" s="33"/>
      <c r="P24" s="33"/>
      <c r="Q24" s="33"/>
      <c r="R24" s="36"/>
      <c r="S24" s="37" t="str">
        <f aca="false">IF(OR($M24="",$R24=""),"",$M24*$R24)</f>
        <v/>
      </c>
      <c r="T24" s="36"/>
      <c r="U24" s="38"/>
      <c r="V24" s="39"/>
      <c r="W24" s="37" t="str">
        <f aca="false">IF(OR($T24="",$U24="",$V24=""),"",$T24*(1-$U24)*$V24)</f>
        <v/>
      </c>
      <c r="X24" s="37" t="str">
        <f aca="false">IF(OR($N24="",$W24=""),"",$N24*$W24)</f>
        <v/>
      </c>
      <c r="Y24" s="37" t="str">
        <f aca="false">IF($S24="","",$S24+IF($X24="",0,$X24))</f>
        <v/>
      </c>
      <c r="Z24" s="33"/>
      <c r="AA24" s="33"/>
      <c r="AB24" s="34"/>
      <c r="AC24" s="34"/>
      <c r="AD24" s="40" t="str">
        <f aca="false">IF($AC24="","",$AC24+365)</f>
        <v/>
      </c>
      <c r="AE24" s="16" t="str">
        <f aca="false">IF($AD24="","",$AD24-$B$3)</f>
        <v/>
      </c>
      <c r="AF24" s="36"/>
      <c r="AG24" s="37" t="str">
        <f aca="false">IF(OR($Y24="",$AF24=""),"",$Y24-$AF24)</f>
        <v/>
      </c>
      <c r="AH24" s="33"/>
    </row>
    <row r="25" customFormat="false" ht="15" hidden="false" customHeight="true" outlineLevel="0" collapsed="false">
      <c r="A25" s="33"/>
      <c r="B25" s="33"/>
      <c r="C25" s="33"/>
      <c r="D25" s="33"/>
      <c r="E25" s="33"/>
      <c r="F25" s="33"/>
      <c r="G25" s="33"/>
      <c r="H25" s="33"/>
      <c r="I25" s="33"/>
      <c r="J25" s="34"/>
      <c r="K25" s="33"/>
      <c r="L25" s="33"/>
      <c r="M25" s="35"/>
      <c r="N25" s="35"/>
      <c r="O25" s="33"/>
      <c r="P25" s="33"/>
      <c r="Q25" s="33"/>
      <c r="R25" s="36"/>
      <c r="S25" s="37" t="str">
        <f aca="false">IF(OR($M25="",$R25=""),"",$M25*$R25)</f>
        <v/>
      </c>
      <c r="T25" s="36"/>
      <c r="U25" s="38"/>
      <c r="V25" s="39"/>
      <c r="W25" s="37" t="str">
        <f aca="false">IF(OR($T25="",$U25="",$V25=""),"",$T25*(1-$U25)*$V25)</f>
        <v/>
      </c>
      <c r="X25" s="37" t="str">
        <f aca="false">IF(OR($N25="",$W25=""),"",$N25*$W25)</f>
        <v/>
      </c>
      <c r="Y25" s="37" t="str">
        <f aca="false">IF($S25="","",$S25+IF($X25="",0,$X25))</f>
        <v/>
      </c>
      <c r="Z25" s="33"/>
      <c r="AA25" s="33"/>
      <c r="AB25" s="34"/>
      <c r="AC25" s="34"/>
      <c r="AD25" s="40" t="str">
        <f aca="false">IF($AC25="","",$AC25+365)</f>
        <v/>
      </c>
      <c r="AE25" s="16" t="str">
        <f aca="false">IF($AD25="","",$AD25-$B$3)</f>
        <v/>
      </c>
      <c r="AF25" s="36"/>
      <c r="AG25" s="37" t="str">
        <f aca="false">IF(OR($Y25="",$AF25=""),"",$Y25-$AF25)</f>
        <v/>
      </c>
      <c r="AH25" s="33"/>
    </row>
    <row r="26" customFormat="false" ht="15" hidden="false" customHeight="true" outlineLevel="0" collapsed="false">
      <c r="A26" s="33"/>
      <c r="B26" s="33"/>
      <c r="C26" s="33"/>
      <c r="D26" s="33"/>
      <c r="E26" s="33"/>
      <c r="F26" s="33"/>
      <c r="G26" s="33"/>
      <c r="H26" s="33"/>
      <c r="I26" s="33"/>
      <c r="J26" s="34"/>
      <c r="K26" s="33"/>
      <c r="L26" s="33"/>
      <c r="M26" s="35"/>
      <c r="N26" s="35"/>
      <c r="O26" s="33"/>
      <c r="P26" s="33"/>
      <c r="Q26" s="33"/>
      <c r="R26" s="36"/>
      <c r="S26" s="37" t="str">
        <f aca="false">IF(OR($M26="",$R26=""),"",$M26*$R26)</f>
        <v/>
      </c>
      <c r="T26" s="36"/>
      <c r="U26" s="38"/>
      <c r="V26" s="39"/>
      <c r="W26" s="37" t="str">
        <f aca="false">IF(OR($T26="",$U26="",$V26=""),"",$T26*(1-$U26)*$V26)</f>
        <v/>
      </c>
      <c r="X26" s="37" t="str">
        <f aca="false">IF(OR($N26="",$W26=""),"",$N26*$W26)</f>
        <v/>
      </c>
      <c r="Y26" s="37" t="str">
        <f aca="false">IF($S26="","",$S26+IF($X26="",0,$X26))</f>
        <v/>
      </c>
      <c r="Z26" s="33"/>
      <c r="AA26" s="33"/>
      <c r="AB26" s="34"/>
      <c r="AC26" s="34"/>
      <c r="AD26" s="40" t="str">
        <f aca="false">IF($AC26="","",$AC26+365)</f>
        <v/>
      </c>
      <c r="AE26" s="16" t="str">
        <f aca="false">IF($AD26="","",$AD26-$B$3)</f>
        <v/>
      </c>
      <c r="AF26" s="36"/>
      <c r="AG26" s="37" t="str">
        <f aca="false">IF(OR($Y26="",$AF26=""),"",$Y26-$AF26)</f>
        <v/>
      </c>
      <c r="AH26" s="33"/>
    </row>
    <row r="27" customFormat="false" ht="15" hidden="false" customHeight="true" outlineLevel="0" collapsed="false">
      <c r="A27" s="33"/>
      <c r="B27" s="33"/>
      <c r="C27" s="33"/>
      <c r="D27" s="33"/>
      <c r="E27" s="33"/>
      <c r="F27" s="33"/>
      <c r="G27" s="33"/>
      <c r="H27" s="33"/>
      <c r="I27" s="33"/>
      <c r="J27" s="34"/>
      <c r="K27" s="33"/>
      <c r="L27" s="33"/>
      <c r="M27" s="35"/>
      <c r="N27" s="35"/>
      <c r="O27" s="33"/>
      <c r="P27" s="33"/>
      <c r="Q27" s="33"/>
      <c r="R27" s="36"/>
      <c r="S27" s="37" t="str">
        <f aca="false">IF(OR($M27="",$R27=""),"",$M27*$R27)</f>
        <v/>
      </c>
      <c r="T27" s="36"/>
      <c r="U27" s="38"/>
      <c r="V27" s="39"/>
      <c r="W27" s="37" t="str">
        <f aca="false">IF(OR($T27="",$U27="",$V27=""),"",$T27*(1-$U27)*$V27)</f>
        <v/>
      </c>
      <c r="X27" s="37" t="str">
        <f aca="false">IF(OR($N27="",$W27=""),"",$N27*$W27)</f>
        <v/>
      </c>
      <c r="Y27" s="37" t="str">
        <f aca="false">IF($S27="","",$S27+IF($X27="",0,$X27))</f>
        <v/>
      </c>
      <c r="Z27" s="33"/>
      <c r="AA27" s="33"/>
      <c r="AB27" s="34"/>
      <c r="AC27" s="34"/>
      <c r="AD27" s="40" t="str">
        <f aca="false">IF($AC27="","",$AC27+365)</f>
        <v/>
      </c>
      <c r="AE27" s="16" t="str">
        <f aca="false">IF($AD27="","",$AD27-$B$3)</f>
        <v/>
      </c>
      <c r="AF27" s="36"/>
      <c r="AG27" s="37" t="str">
        <f aca="false">IF(OR($Y27="",$AF27=""),"",$Y27-$AF27)</f>
        <v/>
      </c>
      <c r="AH27" s="33"/>
    </row>
    <row r="28" customFormat="false" ht="15" hidden="false" customHeight="true" outlineLevel="0" collapsed="false">
      <c r="A28" s="33"/>
      <c r="B28" s="33"/>
      <c r="C28" s="33"/>
      <c r="D28" s="33"/>
      <c r="E28" s="33"/>
      <c r="F28" s="33"/>
      <c r="G28" s="33"/>
      <c r="H28" s="33"/>
      <c r="I28" s="33"/>
      <c r="J28" s="34"/>
      <c r="K28" s="33"/>
      <c r="L28" s="33"/>
      <c r="M28" s="35"/>
      <c r="N28" s="35"/>
      <c r="O28" s="33"/>
      <c r="P28" s="33"/>
      <c r="Q28" s="33"/>
      <c r="R28" s="36"/>
      <c r="S28" s="37" t="str">
        <f aca="false">IF(OR($M28="",$R28=""),"",$M28*$R28)</f>
        <v/>
      </c>
      <c r="T28" s="36"/>
      <c r="U28" s="38"/>
      <c r="V28" s="39"/>
      <c r="W28" s="37" t="str">
        <f aca="false">IF(OR($T28="",$U28="",$V28=""),"",$T28*(1-$U28)*$V28)</f>
        <v/>
      </c>
      <c r="X28" s="37" t="str">
        <f aca="false">IF(OR($N28="",$W28=""),"",$N28*$W28)</f>
        <v/>
      </c>
      <c r="Y28" s="37" t="str">
        <f aca="false">IF($S28="","",$S28+IF($X28="",0,$X28))</f>
        <v/>
      </c>
      <c r="Z28" s="33"/>
      <c r="AA28" s="33"/>
      <c r="AB28" s="34"/>
      <c r="AC28" s="34"/>
      <c r="AD28" s="40" t="str">
        <f aca="false">IF($AC28="","",$AC28+365)</f>
        <v/>
      </c>
      <c r="AE28" s="16" t="str">
        <f aca="false">IF($AD28="","",$AD28-$B$3)</f>
        <v/>
      </c>
      <c r="AF28" s="36"/>
      <c r="AG28" s="37" t="str">
        <f aca="false">IF(OR($Y28="",$AF28=""),"",$Y28-$AF28)</f>
        <v/>
      </c>
      <c r="AH28" s="33"/>
    </row>
    <row r="29" customFormat="false" ht="15" hidden="false" customHeight="true" outlineLevel="0" collapsed="false">
      <c r="A29" s="33"/>
      <c r="B29" s="33"/>
      <c r="C29" s="33"/>
      <c r="D29" s="33"/>
      <c r="E29" s="33"/>
      <c r="F29" s="33"/>
      <c r="G29" s="33"/>
      <c r="H29" s="33"/>
      <c r="I29" s="33"/>
      <c r="J29" s="34"/>
      <c r="K29" s="33"/>
      <c r="L29" s="33"/>
      <c r="M29" s="35"/>
      <c r="N29" s="35"/>
      <c r="O29" s="33"/>
      <c r="P29" s="33"/>
      <c r="Q29" s="33"/>
      <c r="R29" s="36"/>
      <c r="S29" s="37" t="str">
        <f aca="false">IF(OR($M29="",$R29=""),"",$M29*$R29)</f>
        <v/>
      </c>
      <c r="T29" s="36"/>
      <c r="U29" s="38"/>
      <c r="V29" s="39"/>
      <c r="W29" s="37" t="str">
        <f aca="false">IF(OR($T29="",$U29="",$V29=""),"",$T29*(1-$U29)*$V29)</f>
        <v/>
      </c>
      <c r="X29" s="37" t="str">
        <f aca="false">IF(OR($N29="",$W29=""),"",$N29*$W29)</f>
        <v/>
      </c>
      <c r="Y29" s="37" t="str">
        <f aca="false">IF($S29="","",$S29+IF($X29="",0,$X29))</f>
        <v/>
      </c>
      <c r="Z29" s="33"/>
      <c r="AA29" s="33"/>
      <c r="AB29" s="34"/>
      <c r="AC29" s="34"/>
      <c r="AD29" s="40" t="str">
        <f aca="false">IF($AC29="","",$AC29+365)</f>
        <v/>
      </c>
      <c r="AE29" s="16" t="str">
        <f aca="false">IF($AD29="","",$AD29-$B$3)</f>
        <v/>
      </c>
      <c r="AF29" s="36"/>
      <c r="AG29" s="37" t="str">
        <f aca="false">IF(OR($Y29="",$AF29=""),"",$Y29-$AF29)</f>
        <v/>
      </c>
      <c r="AH29" s="33"/>
    </row>
    <row r="30" customFormat="false" ht="15" hidden="false" customHeight="true" outlineLevel="0" collapsed="false">
      <c r="A30" s="33"/>
      <c r="B30" s="33"/>
      <c r="C30" s="33"/>
      <c r="D30" s="33"/>
      <c r="E30" s="33"/>
      <c r="F30" s="33"/>
      <c r="G30" s="33"/>
      <c r="H30" s="33"/>
      <c r="I30" s="33"/>
      <c r="J30" s="34"/>
      <c r="K30" s="33"/>
      <c r="L30" s="33"/>
      <c r="M30" s="35"/>
      <c r="N30" s="35"/>
      <c r="O30" s="33"/>
      <c r="P30" s="33"/>
      <c r="Q30" s="33"/>
      <c r="R30" s="36"/>
      <c r="S30" s="37" t="str">
        <f aca="false">IF(OR($M30="",$R30=""),"",$M30*$R30)</f>
        <v/>
      </c>
      <c r="T30" s="36"/>
      <c r="U30" s="38"/>
      <c r="V30" s="39"/>
      <c r="W30" s="37" t="str">
        <f aca="false">IF(OR($T30="",$U30="",$V30=""),"",$T30*(1-$U30)*$V30)</f>
        <v/>
      </c>
      <c r="X30" s="37" t="str">
        <f aca="false">IF(OR($N30="",$W30=""),"",$N30*$W30)</f>
        <v/>
      </c>
      <c r="Y30" s="37" t="str">
        <f aca="false">IF($S30="","",$S30+IF($X30="",0,$X30))</f>
        <v/>
      </c>
      <c r="Z30" s="33"/>
      <c r="AA30" s="33"/>
      <c r="AB30" s="34"/>
      <c r="AC30" s="34"/>
      <c r="AD30" s="40" t="str">
        <f aca="false">IF($AC30="","",$AC30+365)</f>
        <v/>
      </c>
      <c r="AE30" s="16" t="str">
        <f aca="false">IF($AD30="","",$AD30-$B$3)</f>
        <v/>
      </c>
      <c r="AF30" s="36"/>
      <c r="AG30" s="37" t="str">
        <f aca="false">IF(OR($Y30="",$AF30=""),"",$Y30-$AF30)</f>
        <v/>
      </c>
      <c r="AH30" s="33"/>
    </row>
    <row r="31" customFormat="false" ht="15" hidden="false" customHeight="true" outlineLevel="0" collapsed="false">
      <c r="A31" s="33"/>
      <c r="B31" s="33"/>
      <c r="C31" s="33"/>
      <c r="D31" s="33"/>
      <c r="E31" s="33"/>
      <c r="F31" s="33"/>
      <c r="G31" s="33"/>
      <c r="H31" s="33"/>
      <c r="I31" s="33"/>
      <c r="J31" s="34"/>
      <c r="K31" s="33"/>
      <c r="L31" s="33"/>
      <c r="M31" s="35"/>
      <c r="N31" s="35"/>
      <c r="O31" s="33"/>
      <c r="P31" s="33"/>
      <c r="Q31" s="33"/>
      <c r="R31" s="36"/>
      <c r="S31" s="37" t="str">
        <f aca="false">IF(OR($M31="",$R31=""),"",$M31*$R31)</f>
        <v/>
      </c>
      <c r="T31" s="36"/>
      <c r="U31" s="38"/>
      <c r="V31" s="39"/>
      <c r="W31" s="37" t="str">
        <f aca="false">IF(OR($T31="",$U31="",$V31=""),"",$T31*(1-$U31)*$V31)</f>
        <v/>
      </c>
      <c r="X31" s="37" t="str">
        <f aca="false">IF(OR($N31="",$W31=""),"",$N31*$W31)</f>
        <v/>
      </c>
      <c r="Y31" s="37" t="str">
        <f aca="false">IF($S31="","",$S31+IF($X31="",0,$X31))</f>
        <v/>
      </c>
      <c r="Z31" s="33"/>
      <c r="AA31" s="33"/>
      <c r="AB31" s="34"/>
      <c r="AC31" s="34"/>
      <c r="AD31" s="40" t="str">
        <f aca="false">IF($AC31="","",$AC31+365)</f>
        <v/>
      </c>
      <c r="AE31" s="16" t="str">
        <f aca="false">IF($AD31="","",$AD31-$B$3)</f>
        <v/>
      </c>
      <c r="AF31" s="36"/>
      <c r="AG31" s="37" t="str">
        <f aca="false">IF(OR($Y31="",$AF31=""),"",$Y31-$AF31)</f>
        <v/>
      </c>
      <c r="AH31" s="33"/>
    </row>
    <row r="32" customFormat="false" ht="15" hidden="false" customHeight="true" outlineLevel="0" collapsed="false">
      <c r="A32" s="33"/>
      <c r="B32" s="33"/>
      <c r="C32" s="33"/>
      <c r="D32" s="33"/>
      <c r="E32" s="33"/>
      <c r="F32" s="33"/>
      <c r="G32" s="33"/>
      <c r="H32" s="33"/>
      <c r="I32" s="33"/>
      <c r="J32" s="34"/>
      <c r="K32" s="33"/>
      <c r="L32" s="33"/>
      <c r="M32" s="35"/>
      <c r="N32" s="35"/>
      <c r="O32" s="33"/>
      <c r="P32" s="33"/>
      <c r="Q32" s="33"/>
      <c r="R32" s="36"/>
      <c r="S32" s="37" t="str">
        <f aca="false">IF(OR($M32="",$R32=""),"",$M32*$R32)</f>
        <v/>
      </c>
      <c r="T32" s="36"/>
      <c r="U32" s="38"/>
      <c r="V32" s="39"/>
      <c r="W32" s="37" t="str">
        <f aca="false">IF(OR($T32="",$U32="",$V32=""),"",$T32*(1-$U32)*$V32)</f>
        <v/>
      </c>
      <c r="X32" s="37" t="str">
        <f aca="false">IF(OR($N32="",$W32=""),"",$N32*$W32)</f>
        <v/>
      </c>
      <c r="Y32" s="37" t="str">
        <f aca="false">IF($S32="","",$S32+IF($X32="",0,$X32))</f>
        <v/>
      </c>
      <c r="Z32" s="33"/>
      <c r="AA32" s="33"/>
      <c r="AB32" s="34"/>
      <c r="AC32" s="34"/>
      <c r="AD32" s="40" t="str">
        <f aca="false">IF($AC32="","",$AC32+365)</f>
        <v/>
      </c>
      <c r="AE32" s="16" t="str">
        <f aca="false">IF($AD32="","",$AD32-$B$3)</f>
        <v/>
      </c>
      <c r="AF32" s="36"/>
      <c r="AG32" s="37" t="str">
        <f aca="false">IF(OR($Y32="",$AF32=""),"",$Y32-$AF32)</f>
        <v/>
      </c>
      <c r="AH32" s="33"/>
    </row>
    <row r="33" customFormat="false" ht="15" hidden="false" customHeight="true" outlineLevel="0" collapsed="false">
      <c r="A33" s="33"/>
      <c r="B33" s="33"/>
      <c r="C33" s="33"/>
      <c r="D33" s="33"/>
      <c r="E33" s="33"/>
      <c r="F33" s="33"/>
      <c r="G33" s="33"/>
      <c r="H33" s="33"/>
      <c r="I33" s="33"/>
      <c r="J33" s="34"/>
      <c r="K33" s="33"/>
      <c r="L33" s="33"/>
      <c r="M33" s="35"/>
      <c r="N33" s="35"/>
      <c r="O33" s="33"/>
      <c r="P33" s="33"/>
      <c r="Q33" s="33"/>
      <c r="R33" s="36"/>
      <c r="S33" s="37" t="str">
        <f aca="false">IF(OR($M33="",$R33=""),"",$M33*$R33)</f>
        <v/>
      </c>
      <c r="T33" s="36"/>
      <c r="U33" s="38"/>
      <c r="V33" s="39"/>
      <c r="W33" s="37" t="str">
        <f aca="false">IF(OR($T33="",$U33="",$V33=""),"",$T33*(1-$U33)*$V33)</f>
        <v/>
      </c>
      <c r="X33" s="37" t="str">
        <f aca="false">IF(OR($N33="",$W33=""),"",$N33*$W33)</f>
        <v/>
      </c>
      <c r="Y33" s="37" t="str">
        <f aca="false">IF($S33="","",$S33+IF($X33="",0,$X33))</f>
        <v/>
      </c>
      <c r="Z33" s="33"/>
      <c r="AA33" s="33"/>
      <c r="AB33" s="34"/>
      <c r="AC33" s="34"/>
      <c r="AD33" s="40" t="str">
        <f aca="false">IF($AC33="","",$AC33+365)</f>
        <v/>
      </c>
      <c r="AE33" s="16" t="str">
        <f aca="false">IF($AD33="","",$AD33-$B$3)</f>
        <v/>
      </c>
      <c r="AF33" s="36"/>
      <c r="AG33" s="37" t="str">
        <f aca="false">IF(OR($Y33="",$AF33=""),"",$Y33-$AF33)</f>
        <v/>
      </c>
      <c r="AH33" s="33"/>
    </row>
    <row r="34" customFormat="false" ht="15" hidden="false" customHeight="true" outlineLevel="0" collapsed="false">
      <c r="A34" s="33"/>
      <c r="B34" s="33"/>
      <c r="C34" s="33"/>
      <c r="D34" s="33"/>
      <c r="E34" s="33"/>
      <c r="F34" s="33"/>
      <c r="G34" s="33"/>
      <c r="H34" s="33"/>
      <c r="I34" s="33"/>
      <c r="J34" s="34"/>
      <c r="K34" s="33"/>
      <c r="L34" s="33"/>
      <c r="M34" s="35"/>
      <c r="N34" s="35"/>
      <c r="O34" s="33"/>
      <c r="P34" s="33"/>
      <c r="Q34" s="33"/>
      <c r="R34" s="36"/>
      <c r="S34" s="37" t="str">
        <f aca="false">IF(OR($M34="",$R34=""),"",$M34*$R34)</f>
        <v/>
      </c>
      <c r="T34" s="36"/>
      <c r="U34" s="38"/>
      <c r="V34" s="39"/>
      <c r="W34" s="37" t="str">
        <f aca="false">IF(OR($T34="",$U34="",$V34=""),"",$T34*(1-$U34)*$V34)</f>
        <v/>
      </c>
      <c r="X34" s="37" t="str">
        <f aca="false">IF(OR($N34="",$W34=""),"",$N34*$W34)</f>
        <v/>
      </c>
      <c r="Y34" s="37" t="str">
        <f aca="false">IF($S34="","",$S34+IF($X34="",0,$X34))</f>
        <v/>
      </c>
      <c r="Z34" s="33"/>
      <c r="AA34" s="33"/>
      <c r="AB34" s="34"/>
      <c r="AC34" s="34"/>
      <c r="AD34" s="40" t="str">
        <f aca="false">IF($AC34="","",$AC34+365)</f>
        <v/>
      </c>
      <c r="AE34" s="16" t="str">
        <f aca="false">IF($AD34="","",$AD34-$B$3)</f>
        <v/>
      </c>
      <c r="AF34" s="36"/>
      <c r="AG34" s="37" t="str">
        <f aca="false">IF(OR($Y34="",$AF34=""),"",$Y34-$AF34)</f>
        <v/>
      </c>
      <c r="AH34" s="33"/>
    </row>
    <row r="35" customFormat="false" ht="15" hidden="false" customHeight="true" outlineLevel="0" collapsed="false">
      <c r="A35" s="33"/>
      <c r="B35" s="33"/>
      <c r="C35" s="33"/>
      <c r="D35" s="33"/>
      <c r="E35" s="33"/>
      <c r="F35" s="33"/>
      <c r="G35" s="33"/>
      <c r="H35" s="33"/>
      <c r="I35" s="33"/>
      <c r="J35" s="34"/>
      <c r="K35" s="33"/>
      <c r="L35" s="33"/>
      <c r="M35" s="35"/>
      <c r="N35" s="35"/>
      <c r="O35" s="33"/>
      <c r="P35" s="33"/>
      <c r="Q35" s="33"/>
      <c r="R35" s="36"/>
      <c r="S35" s="37" t="str">
        <f aca="false">IF(OR($M35="",$R35=""),"",$M35*$R35)</f>
        <v/>
      </c>
      <c r="T35" s="36"/>
      <c r="U35" s="38"/>
      <c r="V35" s="39"/>
      <c r="W35" s="37" t="str">
        <f aca="false">IF(OR($T35="",$U35="",$V35=""),"",$T35*(1-$U35)*$V35)</f>
        <v/>
      </c>
      <c r="X35" s="37" t="str">
        <f aca="false">IF(OR($N35="",$W35=""),"",$N35*$W35)</f>
        <v/>
      </c>
      <c r="Y35" s="37" t="str">
        <f aca="false">IF($S35="","",$S35+IF($X35="",0,$X35))</f>
        <v/>
      </c>
      <c r="Z35" s="33"/>
      <c r="AA35" s="33"/>
      <c r="AB35" s="34"/>
      <c r="AC35" s="34"/>
      <c r="AD35" s="40" t="str">
        <f aca="false">IF($AC35="","",$AC35+365)</f>
        <v/>
      </c>
      <c r="AE35" s="16" t="str">
        <f aca="false">IF($AD35="","",$AD35-$B$3)</f>
        <v/>
      </c>
      <c r="AF35" s="36"/>
      <c r="AG35" s="37" t="str">
        <f aca="false">IF(OR($Y35="",$AF35=""),"",$Y35-$AF35)</f>
        <v/>
      </c>
      <c r="AH35" s="33"/>
    </row>
    <row r="36" customFormat="false" ht="15" hidden="false" customHeight="true" outlineLevel="0" collapsed="false">
      <c r="A36" s="33"/>
      <c r="B36" s="33"/>
      <c r="C36" s="33"/>
      <c r="D36" s="33"/>
      <c r="E36" s="33"/>
      <c r="F36" s="33"/>
      <c r="G36" s="33"/>
      <c r="H36" s="33"/>
      <c r="I36" s="33"/>
      <c r="J36" s="34"/>
      <c r="K36" s="33"/>
      <c r="L36" s="33"/>
      <c r="M36" s="35"/>
      <c r="N36" s="35"/>
      <c r="O36" s="33"/>
      <c r="P36" s="33"/>
      <c r="Q36" s="33"/>
      <c r="R36" s="36"/>
      <c r="S36" s="37" t="str">
        <f aca="false">IF(OR($M36="",$R36=""),"",$M36*$R36)</f>
        <v/>
      </c>
      <c r="T36" s="36"/>
      <c r="U36" s="38"/>
      <c r="V36" s="39"/>
      <c r="W36" s="37" t="str">
        <f aca="false">IF(OR($T36="",$U36="",$V36=""),"",$T36*(1-$U36)*$V36)</f>
        <v/>
      </c>
      <c r="X36" s="37" t="str">
        <f aca="false">IF(OR($N36="",$W36=""),"",$N36*$W36)</f>
        <v/>
      </c>
      <c r="Y36" s="37" t="str">
        <f aca="false">IF($S36="","",$S36+IF($X36="",0,$X36))</f>
        <v/>
      </c>
      <c r="Z36" s="33"/>
      <c r="AA36" s="33"/>
      <c r="AB36" s="34"/>
      <c r="AC36" s="34"/>
      <c r="AD36" s="40" t="str">
        <f aca="false">IF($AC36="","",$AC36+365)</f>
        <v/>
      </c>
      <c r="AE36" s="16" t="str">
        <f aca="false">IF($AD36="","",$AD36-$B$3)</f>
        <v/>
      </c>
      <c r="AF36" s="36"/>
      <c r="AG36" s="37" t="str">
        <f aca="false">IF(OR($Y36="",$AF36=""),"",$Y36-$AF36)</f>
        <v/>
      </c>
      <c r="AH36" s="33"/>
    </row>
    <row r="37" customFormat="false" ht="15" hidden="false" customHeight="true" outlineLevel="0" collapsed="false">
      <c r="A37" s="33"/>
      <c r="B37" s="33"/>
      <c r="C37" s="33"/>
      <c r="D37" s="33"/>
      <c r="E37" s="33"/>
      <c r="F37" s="33"/>
      <c r="G37" s="33"/>
      <c r="H37" s="33"/>
      <c r="I37" s="33"/>
      <c r="J37" s="34"/>
      <c r="K37" s="33"/>
      <c r="L37" s="33"/>
      <c r="M37" s="35"/>
      <c r="N37" s="35"/>
      <c r="O37" s="33"/>
      <c r="P37" s="33"/>
      <c r="Q37" s="33"/>
      <c r="R37" s="36"/>
      <c r="S37" s="37" t="str">
        <f aca="false">IF(OR($M37="",$R37=""),"",$M37*$R37)</f>
        <v/>
      </c>
      <c r="T37" s="36"/>
      <c r="U37" s="38"/>
      <c r="V37" s="39"/>
      <c r="W37" s="37" t="str">
        <f aca="false">IF(OR($T37="",$U37="",$V37=""),"",$T37*(1-$U37)*$V37)</f>
        <v/>
      </c>
      <c r="X37" s="37" t="str">
        <f aca="false">IF(OR($N37="",$W37=""),"",$N37*$W37)</f>
        <v/>
      </c>
      <c r="Y37" s="37" t="str">
        <f aca="false">IF($S37="","",$S37+IF($X37="",0,$X37))</f>
        <v/>
      </c>
      <c r="Z37" s="33"/>
      <c r="AA37" s="33"/>
      <c r="AB37" s="34"/>
      <c r="AC37" s="34"/>
      <c r="AD37" s="40" t="str">
        <f aca="false">IF($AC37="","",$AC37+365)</f>
        <v/>
      </c>
      <c r="AE37" s="16" t="str">
        <f aca="false">IF($AD37="","",$AD37-$B$3)</f>
        <v/>
      </c>
      <c r="AF37" s="36"/>
      <c r="AG37" s="37" t="str">
        <f aca="false">IF(OR($Y37="",$AF37=""),"",$Y37-$AF37)</f>
        <v/>
      </c>
      <c r="AH37" s="33"/>
    </row>
    <row r="38" customFormat="false" ht="15" hidden="false" customHeight="true" outlineLevel="0" collapsed="false">
      <c r="A38" s="33"/>
      <c r="B38" s="33"/>
      <c r="C38" s="33"/>
      <c r="D38" s="33"/>
      <c r="E38" s="33"/>
      <c r="F38" s="33"/>
      <c r="G38" s="33"/>
      <c r="H38" s="33"/>
      <c r="I38" s="33"/>
      <c r="J38" s="34"/>
      <c r="K38" s="33"/>
      <c r="L38" s="33"/>
      <c r="M38" s="35"/>
      <c r="N38" s="35"/>
      <c r="O38" s="33"/>
      <c r="P38" s="33"/>
      <c r="Q38" s="33"/>
      <c r="R38" s="36"/>
      <c r="S38" s="37" t="str">
        <f aca="false">IF(OR($M38="",$R38=""),"",$M38*$R38)</f>
        <v/>
      </c>
      <c r="T38" s="36"/>
      <c r="U38" s="38"/>
      <c r="V38" s="39"/>
      <c r="W38" s="37" t="str">
        <f aca="false">IF(OR($T38="",$U38="",$V38=""),"",$T38*(1-$U38)*$V38)</f>
        <v/>
      </c>
      <c r="X38" s="37" t="str">
        <f aca="false">IF(OR($N38="",$W38=""),"",$N38*$W38)</f>
        <v/>
      </c>
      <c r="Y38" s="37" t="str">
        <f aca="false">IF($S38="","",$S38+IF($X38="",0,$X38))</f>
        <v/>
      </c>
      <c r="Z38" s="33"/>
      <c r="AA38" s="33"/>
      <c r="AB38" s="34"/>
      <c r="AC38" s="34"/>
      <c r="AD38" s="40" t="str">
        <f aca="false">IF($AC38="","",$AC38+365)</f>
        <v/>
      </c>
      <c r="AE38" s="16" t="str">
        <f aca="false">IF($AD38="","",$AD38-$B$3)</f>
        <v/>
      </c>
      <c r="AF38" s="36"/>
      <c r="AG38" s="37" t="str">
        <f aca="false">IF(OR($Y38="",$AF38=""),"",$Y38-$AF38)</f>
        <v/>
      </c>
      <c r="AH38" s="33"/>
    </row>
    <row r="39" customFormat="false" ht="15" hidden="false" customHeight="true" outlineLevel="0" collapsed="false">
      <c r="A39" s="33"/>
      <c r="B39" s="33"/>
      <c r="C39" s="33"/>
      <c r="D39" s="33"/>
      <c r="E39" s="33"/>
      <c r="F39" s="33"/>
      <c r="G39" s="33"/>
      <c r="H39" s="33"/>
      <c r="I39" s="33"/>
      <c r="J39" s="34"/>
      <c r="K39" s="33"/>
      <c r="L39" s="33"/>
      <c r="M39" s="35"/>
      <c r="N39" s="35"/>
      <c r="O39" s="33"/>
      <c r="P39" s="33"/>
      <c r="Q39" s="33"/>
      <c r="R39" s="36"/>
      <c r="S39" s="37" t="str">
        <f aca="false">IF(OR($M39="",$R39=""),"",$M39*$R39)</f>
        <v/>
      </c>
      <c r="T39" s="36"/>
      <c r="U39" s="38"/>
      <c r="V39" s="39"/>
      <c r="W39" s="37" t="str">
        <f aca="false">IF(OR($T39="",$U39="",$V39=""),"",$T39*(1-$U39)*$V39)</f>
        <v/>
      </c>
      <c r="X39" s="37" t="str">
        <f aca="false">IF(OR($N39="",$W39=""),"",$N39*$W39)</f>
        <v/>
      </c>
      <c r="Y39" s="37" t="str">
        <f aca="false">IF($S39="","",$S39+IF($X39="",0,$X39))</f>
        <v/>
      </c>
      <c r="Z39" s="33"/>
      <c r="AA39" s="33"/>
      <c r="AB39" s="34"/>
      <c r="AC39" s="34"/>
      <c r="AD39" s="40" t="str">
        <f aca="false">IF($AC39="","",$AC39+365)</f>
        <v/>
      </c>
      <c r="AE39" s="16" t="str">
        <f aca="false">IF($AD39="","",$AD39-$B$3)</f>
        <v/>
      </c>
      <c r="AF39" s="36"/>
      <c r="AG39" s="37" t="str">
        <f aca="false">IF(OR($Y39="",$AF39=""),"",$Y39-$AF39)</f>
        <v/>
      </c>
      <c r="AH39" s="33"/>
    </row>
    <row r="40" customFormat="false" ht="15" hidden="false" customHeight="true" outlineLevel="0" collapsed="false">
      <c r="A40" s="33"/>
      <c r="B40" s="33"/>
      <c r="C40" s="33"/>
      <c r="D40" s="33"/>
      <c r="E40" s="33"/>
      <c r="F40" s="33"/>
      <c r="G40" s="33"/>
      <c r="H40" s="33"/>
      <c r="I40" s="33"/>
      <c r="J40" s="34"/>
      <c r="K40" s="33"/>
      <c r="L40" s="33"/>
      <c r="M40" s="35"/>
      <c r="N40" s="35"/>
      <c r="O40" s="33"/>
      <c r="P40" s="33"/>
      <c r="Q40" s="33"/>
      <c r="R40" s="36"/>
      <c r="S40" s="37" t="str">
        <f aca="false">IF(OR($M40="",$R40=""),"",$M40*$R40)</f>
        <v/>
      </c>
      <c r="T40" s="36"/>
      <c r="U40" s="38"/>
      <c r="V40" s="39"/>
      <c r="W40" s="37" t="str">
        <f aca="false">IF(OR($T40="",$U40="",$V40=""),"",$T40*(1-$U40)*$V40)</f>
        <v/>
      </c>
      <c r="X40" s="37" t="str">
        <f aca="false">IF(OR($N40="",$W40=""),"",$N40*$W40)</f>
        <v/>
      </c>
      <c r="Y40" s="37" t="str">
        <f aca="false">IF($S40="","",$S40+IF($X40="",0,$X40))</f>
        <v/>
      </c>
      <c r="Z40" s="33"/>
      <c r="AA40" s="33"/>
      <c r="AB40" s="34"/>
      <c r="AC40" s="34"/>
      <c r="AD40" s="40" t="str">
        <f aca="false">IF($AC40="","",$AC40+365)</f>
        <v/>
      </c>
      <c r="AE40" s="16" t="str">
        <f aca="false">IF($AD40="","",$AD40-$B$3)</f>
        <v/>
      </c>
      <c r="AF40" s="36"/>
      <c r="AG40" s="37" t="str">
        <f aca="false">IF(OR($Y40="",$AF40=""),"",$Y40-$AF40)</f>
        <v/>
      </c>
      <c r="AH40" s="33"/>
    </row>
    <row r="41" customFormat="false" ht="15" hidden="false" customHeight="true" outlineLevel="0" collapsed="false">
      <c r="A41" s="33"/>
      <c r="B41" s="33"/>
      <c r="C41" s="33"/>
      <c r="D41" s="33"/>
      <c r="E41" s="33"/>
      <c r="F41" s="33"/>
      <c r="G41" s="33"/>
      <c r="H41" s="33"/>
      <c r="I41" s="33"/>
      <c r="J41" s="34"/>
      <c r="K41" s="33"/>
      <c r="L41" s="33"/>
      <c r="M41" s="35"/>
      <c r="N41" s="35"/>
      <c r="O41" s="33"/>
      <c r="P41" s="33"/>
      <c r="Q41" s="33"/>
      <c r="R41" s="36"/>
      <c r="S41" s="37" t="str">
        <f aca="false">IF(OR($M41="",$R41=""),"",$M41*$R41)</f>
        <v/>
      </c>
      <c r="T41" s="36"/>
      <c r="U41" s="38"/>
      <c r="V41" s="39"/>
      <c r="W41" s="37" t="str">
        <f aca="false">IF(OR($T41="",$U41="",$V41=""),"",$T41*(1-$U41)*$V41)</f>
        <v/>
      </c>
      <c r="X41" s="37" t="str">
        <f aca="false">IF(OR($N41="",$W41=""),"",$N41*$W41)</f>
        <v/>
      </c>
      <c r="Y41" s="37" t="str">
        <f aca="false">IF($S41="","",$S41+IF($X41="",0,$X41))</f>
        <v/>
      </c>
      <c r="Z41" s="33"/>
      <c r="AA41" s="33"/>
      <c r="AB41" s="34"/>
      <c r="AC41" s="34"/>
      <c r="AD41" s="40" t="str">
        <f aca="false">IF($AC41="","",$AC41+365)</f>
        <v/>
      </c>
      <c r="AE41" s="16" t="str">
        <f aca="false">IF($AD41="","",$AD41-$B$3)</f>
        <v/>
      </c>
      <c r="AF41" s="36"/>
      <c r="AG41" s="37" t="str">
        <f aca="false">IF(OR($Y41="",$AF41=""),"",$Y41-$AF41)</f>
        <v/>
      </c>
      <c r="AH41" s="33"/>
    </row>
    <row r="42" customFormat="false" ht="15" hidden="false" customHeight="true" outlineLevel="0" collapsed="false">
      <c r="A42" s="33"/>
      <c r="B42" s="33"/>
      <c r="C42" s="33"/>
      <c r="D42" s="33"/>
      <c r="E42" s="33"/>
      <c r="F42" s="33"/>
      <c r="G42" s="33"/>
      <c r="H42" s="33"/>
      <c r="I42" s="33"/>
      <c r="J42" s="34"/>
      <c r="K42" s="33"/>
      <c r="L42" s="33"/>
      <c r="M42" s="35"/>
      <c r="N42" s="35"/>
      <c r="O42" s="33"/>
      <c r="P42" s="33"/>
      <c r="Q42" s="33"/>
      <c r="R42" s="36"/>
      <c r="S42" s="37" t="str">
        <f aca="false">IF(OR($M42="",$R42=""),"",$M42*$R42)</f>
        <v/>
      </c>
      <c r="T42" s="36"/>
      <c r="U42" s="38"/>
      <c r="V42" s="39"/>
      <c r="W42" s="37" t="str">
        <f aca="false">IF(OR($T42="",$U42="",$V42=""),"",$T42*(1-$U42)*$V42)</f>
        <v/>
      </c>
      <c r="X42" s="37" t="str">
        <f aca="false">IF(OR($N42="",$W42=""),"",$N42*$W42)</f>
        <v/>
      </c>
      <c r="Y42" s="37" t="str">
        <f aca="false">IF($S42="","",$S42+IF($X42="",0,$X42))</f>
        <v/>
      </c>
      <c r="Z42" s="33"/>
      <c r="AA42" s="33"/>
      <c r="AB42" s="34"/>
      <c r="AC42" s="34"/>
      <c r="AD42" s="40" t="str">
        <f aca="false">IF($AC42="","",$AC42+365)</f>
        <v/>
      </c>
      <c r="AE42" s="16" t="str">
        <f aca="false">IF($AD42="","",$AD42-$B$3)</f>
        <v/>
      </c>
      <c r="AF42" s="36"/>
      <c r="AG42" s="37" t="str">
        <f aca="false">IF(OR($Y42="",$AF42=""),"",$Y42-$AF42)</f>
        <v/>
      </c>
      <c r="AH42" s="33"/>
    </row>
    <row r="43" customFormat="false" ht="15" hidden="false" customHeight="true" outlineLevel="0" collapsed="false">
      <c r="A43" s="33"/>
      <c r="B43" s="33"/>
      <c r="C43" s="33"/>
      <c r="D43" s="33"/>
      <c r="E43" s="33"/>
      <c r="F43" s="33"/>
      <c r="G43" s="33"/>
      <c r="H43" s="33"/>
      <c r="I43" s="33"/>
      <c r="J43" s="34"/>
      <c r="K43" s="33"/>
      <c r="L43" s="33"/>
      <c r="M43" s="35"/>
      <c r="N43" s="35"/>
      <c r="O43" s="33"/>
      <c r="P43" s="33"/>
      <c r="Q43" s="33"/>
      <c r="R43" s="36"/>
      <c r="S43" s="37" t="str">
        <f aca="false">IF(OR($M43="",$R43=""),"",$M43*$R43)</f>
        <v/>
      </c>
      <c r="T43" s="36"/>
      <c r="U43" s="38"/>
      <c r="V43" s="39"/>
      <c r="W43" s="37" t="str">
        <f aca="false">IF(OR($T43="",$U43="",$V43=""),"",$T43*(1-$U43)*$V43)</f>
        <v/>
      </c>
      <c r="X43" s="37" t="str">
        <f aca="false">IF(OR($N43="",$W43=""),"",$N43*$W43)</f>
        <v/>
      </c>
      <c r="Y43" s="37" t="str">
        <f aca="false">IF($S43="","",$S43+IF($X43="",0,$X43))</f>
        <v/>
      </c>
      <c r="Z43" s="33"/>
      <c r="AA43" s="33"/>
      <c r="AB43" s="34"/>
      <c r="AC43" s="34"/>
      <c r="AD43" s="40" t="str">
        <f aca="false">IF($AC43="","",$AC43+365)</f>
        <v/>
      </c>
      <c r="AE43" s="16" t="str">
        <f aca="false">IF($AD43="","",$AD43-$B$3)</f>
        <v/>
      </c>
      <c r="AF43" s="36"/>
      <c r="AG43" s="37" t="str">
        <f aca="false">IF(OR($Y43="",$AF43=""),"",$Y43-$AF43)</f>
        <v/>
      </c>
      <c r="AH43" s="33"/>
    </row>
    <row r="44" customFormat="false" ht="15" hidden="false" customHeight="true" outlineLevel="0" collapsed="false">
      <c r="A44" s="33"/>
      <c r="B44" s="33"/>
      <c r="C44" s="33"/>
      <c r="D44" s="33"/>
      <c r="E44" s="33"/>
      <c r="F44" s="33"/>
      <c r="G44" s="33"/>
      <c r="H44" s="33"/>
      <c r="I44" s="33"/>
      <c r="J44" s="34"/>
      <c r="K44" s="33"/>
      <c r="L44" s="33"/>
      <c r="M44" s="35"/>
      <c r="N44" s="35"/>
      <c r="O44" s="33"/>
      <c r="P44" s="33"/>
      <c r="Q44" s="33"/>
      <c r="R44" s="36"/>
      <c r="S44" s="37" t="str">
        <f aca="false">IF(OR($M44="",$R44=""),"",$M44*$R44)</f>
        <v/>
      </c>
      <c r="T44" s="36"/>
      <c r="U44" s="38"/>
      <c r="V44" s="39"/>
      <c r="W44" s="37" t="str">
        <f aca="false">IF(OR($T44="",$U44="",$V44=""),"",$T44*(1-$U44)*$V44)</f>
        <v/>
      </c>
      <c r="X44" s="37" t="str">
        <f aca="false">IF(OR($N44="",$W44=""),"",$N44*$W44)</f>
        <v/>
      </c>
      <c r="Y44" s="37" t="str">
        <f aca="false">IF($S44="","",$S44+IF($X44="",0,$X44))</f>
        <v/>
      </c>
      <c r="Z44" s="33"/>
      <c r="AA44" s="33"/>
      <c r="AB44" s="34"/>
      <c r="AC44" s="34"/>
      <c r="AD44" s="40" t="str">
        <f aca="false">IF($AC44="","",$AC44+365)</f>
        <v/>
      </c>
      <c r="AE44" s="16" t="str">
        <f aca="false">IF($AD44="","",$AD44-$B$3)</f>
        <v/>
      </c>
      <c r="AF44" s="36"/>
      <c r="AG44" s="37" t="str">
        <f aca="false">IF(OR($Y44="",$AF44=""),"",$Y44-$AF44)</f>
        <v/>
      </c>
      <c r="AH44" s="33"/>
    </row>
    <row r="45" customFormat="false" ht="15" hidden="false" customHeight="true" outlineLevel="0" collapsed="false">
      <c r="A45" s="33"/>
      <c r="B45" s="33"/>
      <c r="C45" s="33"/>
      <c r="D45" s="33"/>
      <c r="E45" s="33"/>
      <c r="F45" s="33"/>
      <c r="G45" s="33"/>
      <c r="H45" s="33"/>
      <c r="I45" s="33"/>
      <c r="J45" s="34"/>
      <c r="K45" s="33"/>
      <c r="L45" s="33"/>
      <c r="M45" s="35"/>
      <c r="N45" s="35"/>
      <c r="O45" s="33"/>
      <c r="P45" s="33"/>
      <c r="Q45" s="33"/>
      <c r="R45" s="36"/>
      <c r="S45" s="37" t="str">
        <f aca="false">IF(OR($M45="",$R45=""),"",$M45*$R45)</f>
        <v/>
      </c>
      <c r="T45" s="36"/>
      <c r="U45" s="38"/>
      <c r="V45" s="39"/>
      <c r="W45" s="37" t="str">
        <f aca="false">IF(OR($T45="",$U45="",$V45=""),"",$T45*(1-$U45)*$V45)</f>
        <v/>
      </c>
      <c r="X45" s="37" t="str">
        <f aca="false">IF(OR($N45="",$W45=""),"",$N45*$W45)</f>
        <v/>
      </c>
      <c r="Y45" s="37" t="str">
        <f aca="false">IF($S45="","",$S45+IF($X45="",0,$X45))</f>
        <v/>
      </c>
      <c r="Z45" s="33"/>
      <c r="AA45" s="33"/>
      <c r="AB45" s="34"/>
      <c r="AC45" s="34"/>
      <c r="AD45" s="40" t="str">
        <f aca="false">IF($AC45="","",$AC45+365)</f>
        <v/>
      </c>
      <c r="AE45" s="16" t="str">
        <f aca="false">IF($AD45="","",$AD45-$B$3)</f>
        <v/>
      </c>
      <c r="AF45" s="36"/>
      <c r="AG45" s="37" t="str">
        <f aca="false">IF(OR($Y45="",$AF45=""),"",$Y45-$AF45)</f>
        <v/>
      </c>
      <c r="AH45" s="33"/>
    </row>
    <row r="46" customFormat="false" ht="15" hidden="false" customHeight="true" outlineLevel="0" collapsed="false">
      <c r="A46" s="33"/>
      <c r="B46" s="33"/>
      <c r="C46" s="33"/>
      <c r="D46" s="33"/>
      <c r="E46" s="33"/>
      <c r="F46" s="33"/>
      <c r="G46" s="33"/>
      <c r="H46" s="33"/>
      <c r="I46" s="33"/>
      <c r="J46" s="34"/>
      <c r="K46" s="33"/>
      <c r="L46" s="33"/>
      <c r="M46" s="35"/>
      <c r="N46" s="35"/>
      <c r="O46" s="33"/>
      <c r="P46" s="33"/>
      <c r="Q46" s="33"/>
      <c r="R46" s="36"/>
      <c r="S46" s="37" t="str">
        <f aca="false">IF(OR($M46="",$R46=""),"",$M46*$R46)</f>
        <v/>
      </c>
      <c r="T46" s="36"/>
      <c r="U46" s="38"/>
      <c r="V46" s="39"/>
      <c r="W46" s="37" t="str">
        <f aca="false">IF(OR($T46="",$U46="",$V46=""),"",$T46*(1-$U46)*$V46)</f>
        <v/>
      </c>
      <c r="X46" s="37" t="str">
        <f aca="false">IF(OR($N46="",$W46=""),"",$N46*$W46)</f>
        <v/>
      </c>
      <c r="Y46" s="37" t="str">
        <f aca="false">IF($S46="","",$S46+IF($X46="",0,$X46))</f>
        <v/>
      </c>
      <c r="Z46" s="33"/>
      <c r="AA46" s="33"/>
      <c r="AB46" s="34"/>
      <c r="AC46" s="34"/>
      <c r="AD46" s="40" t="str">
        <f aca="false">IF($AC46="","",$AC46+365)</f>
        <v/>
      </c>
      <c r="AE46" s="16" t="str">
        <f aca="false">IF($AD46="","",$AD46-$B$3)</f>
        <v/>
      </c>
      <c r="AF46" s="36"/>
      <c r="AG46" s="37" t="str">
        <f aca="false">IF(OR($Y46="",$AF46=""),"",$Y46-$AF46)</f>
        <v/>
      </c>
      <c r="AH46" s="33"/>
    </row>
    <row r="47" customFormat="false" ht="15" hidden="false" customHeight="true" outlineLevel="0" collapsed="false">
      <c r="A47" s="33"/>
      <c r="B47" s="33"/>
      <c r="C47" s="33"/>
      <c r="D47" s="33"/>
      <c r="E47" s="33"/>
      <c r="F47" s="33"/>
      <c r="G47" s="33"/>
      <c r="H47" s="33"/>
      <c r="I47" s="33"/>
      <c r="J47" s="34"/>
      <c r="K47" s="33"/>
      <c r="L47" s="33"/>
      <c r="M47" s="35"/>
      <c r="N47" s="35"/>
      <c r="O47" s="33"/>
      <c r="P47" s="33"/>
      <c r="Q47" s="33"/>
      <c r="R47" s="36"/>
      <c r="S47" s="37" t="str">
        <f aca="false">IF(OR($M47="",$R47=""),"",$M47*$R47)</f>
        <v/>
      </c>
      <c r="T47" s="36"/>
      <c r="U47" s="38"/>
      <c r="V47" s="39"/>
      <c r="W47" s="37" t="str">
        <f aca="false">IF(OR($T47="",$U47="",$V47=""),"",$T47*(1-$U47)*$V47)</f>
        <v/>
      </c>
      <c r="X47" s="37" t="str">
        <f aca="false">IF(OR($N47="",$W47=""),"",$N47*$W47)</f>
        <v/>
      </c>
      <c r="Y47" s="37" t="str">
        <f aca="false">IF($S47="","",$S47+IF($X47="",0,$X47))</f>
        <v/>
      </c>
      <c r="Z47" s="33"/>
      <c r="AA47" s="33"/>
      <c r="AB47" s="34"/>
      <c r="AC47" s="34"/>
      <c r="AD47" s="40" t="str">
        <f aca="false">IF($AC47="","",$AC47+365)</f>
        <v/>
      </c>
      <c r="AE47" s="16" t="str">
        <f aca="false">IF($AD47="","",$AD47-$B$3)</f>
        <v/>
      </c>
      <c r="AF47" s="36"/>
      <c r="AG47" s="37" t="str">
        <f aca="false">IF(OR($Y47="",$AF47=""),"",$Y47-$AF47)</f>
        <v/>
      </c>
      <c r="AH47" s="33"/>
    </row>
    <row r="48" customFormat="false" ht="15" hidden="false" customHeight="true" outlineLevel="0" collapsed="false">
      <c r="A48" s="33"/>
      <c r="B48" s="33"/>
      <c r="C48" s="33"/>
      <c r="D48" s="33"/>
      <c r="E48" s="33"/>
      <c r="F48" s="33"/>
      <c r="G48" s="33"/>
      <c r="H48" s="33"/>
      <c r="I48" s="33"/>
      <c r="J48" s="34"/>
      <c r="K48" s="33"/>
      <c r="L48" s="33"/>
      <c r="M48" s="35"/>
      <c r="N48" s="35"/>
      <c r="O48" s="33"/>
      <c r="P48" s="33"/>
      <c r="Q48" s="33"/>
      <c r="R48" s="36"/>
      <c r="S48" s="37" t="str">
        <f aca="false">IF(OR($M48="",$R48=""),"",$M48*$R48)</f>
        <v/>
      </c>
      <c r="T48" s="36"/>
      <c r="U48" s="38"/>
      <c r="V48" s="39"/>
      <c r="W48" s="37" t="str">
        <f aca="false">IF(OR($T48="",$U48="",$V48=""),"",$T48*(1-$U48)*$V48)</f>
        <v/>
      </c>
      <c r="X48" s="37" t="str">
        <f aca="false">IF(OR($N48="",$W48=""),"",$N48*$W48)</f>
        <v/>
      </c>
      <c r="Y48" s="37" t="str">
        <f aca="false">IF($S48="","",$S48+IF($X48="",0,$X48))</f>
        <v/>
      </c>
      <c r="Z48" s="33"/>
      <c r="AA48" s="33"/>
      <c r="AB48" s="34"/>
      <c r="AC48" s="34"/>
      <c r="AD48" s="40" t="str">
        <f aca="false">IF($AC48="","",$AC48+365)</f>
        <v/>
      </c>
      <c r="AE48" s="16" t="str">
        <f aca="false">IF($AD48="","",$AD48-$B$3)</f>
        <v/>
      </c>
      <c r="AF48" s="36"/>
      <c r="AG48" s="37" t="str">
        <f aca="false">IF(OR($Y48="",$AF48=""),"",$Y48-$AF48)</f>
        <v/>
      </c>
      <c r="AH48" s="33"/>
    </row>
    <row r="49" customFormat="false" ht="15" hidden="false" customHeight="true" outlineLevel="0" collapsed="false">
      <c r="A49" s="33"/>
      <c r="B49" s="33"/>
      <c r="C49" s="33"/>
      <c r="D49" s="33"/>
      <c r="E49" s="33"/>
      <c r="F49" s="33"/>
      <c r="G49" s="33"/>
      <c r="H49" s="33"/>
      <c r="I49" s="33"/>
      <c r="J49" s="34"/>
      <c r="K49" s="33"/>
      <c r="L49" s="33"/>
      <c r="M49" s="35"/>
      <c r="N49" s="35"/>
      <c r="O49" s="33"/>
      <c r="P49" s="33"/>
      <c r="Q49" s="33"/>
      <c r="R49" s="36"/>
      <c r="S49" s="37" t="str">
        <f aca="false">IF(OR($M49="",$R49=""),"",$M49*$R49)</f>
        <v/>
      </c>
      <c r="T49" s="36"/>
      <c r="U49" s="38"/>
      <c r="V49" s="39"/>
      <c r="W49" s="37" t="str">
        <f aca="false">IF(OR($T49="",$U49="",$V49=""),"",$T49*(1-$U49)*$V49)</f>
        <v/>
      </c>
      <c r="X49" s="37" t="str">
        <f aca="false">IF(OR($N49="",$W49=""),"",$N49*$W49)</f>
        <v/>
      </c>
      <c r="Y49" s="37" t="str">
        <f aca="false">IF($S49="","",$S49+IF($X49="",0,$X49))</f>
        <v/>
      </c>
      <c r="Z49" s="33"/>
      <c r="AA49" s="33"/>
      <c r="AB49" s="34"/>
      <c r="AC49" s="34"/>
      <c r="AD49" s="40" t="str">
        <f aca="false">IF($AC49="","",$AC49+365)</f>
        <v/>
      </c>
      <c r="AE49" s="16" t="str">
        <f aca="false">IF($AD49="","",$AD49-$B$3)</f>
        <v/>
      </c>
      <c r="AF49" s="36"/>
      <c r="AG49" s="37" t="str">
        <f aca="false">IF(OR($Y49="",$AF49=""),"",$Y49-$AF49)</f>
        <v/>
      </c>
      <c r="AH49" s="33"/>
    </row>
    <row r="50" customFormat="false" ht="15" hidden="false" customHeight="true" outlineLevel="0" collapsed="false">
      <c r="A50" s="33"/>
      <c r="B50" s="33"/>
      <c r="C50" s="33"/>
      <c r="D50" s="33"/>
      <c r="E50" s="33"/>
      <c r="F50" s="33"/>
      <c r="G50" s="33"/>
      <c r="H50" s="33"/>
      <c r="I50" s="33"/>
      <c r="J50" s="34"/>
      <c r="K50" s="33"/>
      <c r="L50" s="33"/>
      <c r="M50" s="35"/>
      <c r="N50" s="35"/>
      <c r="O50" s="33"/>
      <c r="P50" s="33"/>
      <c r="Q50" s="33"/>
      <c r="R50" s="36"/>
      <c r="S50" s="37" t="str">
        <f aca="false">IF(OR($M50="",$R50=""),"",$M50*$R50)</f>
        <v/>
      </c>
      <c r="T50" s="36"/>
      <c r="U50" s="38"/>
      <c r="V50" s="39"/>
      <c r="W50" s="37" t="str">
        <f aca="false">IF(OR($T50="",$U50="",$V50=""),"",$T50*(1-$U50)*$V50)</f>
        <v/>
      </c>
      <c r="X50" s="37" t="str">
        <f aca="false">IF(OR($N50="",$W50=""),"",$N50*$W50)</f>
        <v/>
      </c>
      <c r="Y50" s="37" t="str">
        <f aca="false">IF($S50="","",$S50+IF($X50="",0,$X50))</f>
        <v/>
      </c>
      <c r="Z50" s="33"/>
      <c r="AA50" s="33"/>
      <c r="AB50" s="34"/>
      <c r="AC50" s="34"/>
      <c r="AD50" s="40" t="str">
        <f aca="false">IF($AC50="","",$AC50+365)</f>
        <v/>
      </c>
      <c r="AE50" s="16" t="str">
        <f aca="false">IF($AD50="","",$AD50-$B$3)</f>
        <v/>
      </c>
      <c r="AF50" s="36"/>
      <c r="AG50" s="37" t="str">
        <f aca="false">IF(OR($Y50="",$AF50=""),"",$Y50-$AF50)</f>
        <v/>
      </c>
      <c r="AH50" s="33"/>
    </row>
    <row r="51" customFormat="false" ht="15" hidden="false" customHeight="true" outlineLevel="0" collapsed="false">
      <c r="A51" s="33"/>
      <c r="B51" s="33"/>
      <c r="C51" s="33"/>
      <c r="D51" s="33"/>
      <c r="E51" s="33"/>
      <c r="F51" s="33"/>
      <c r="G51" s="33"/>
      <c r="H51" s="33"/>
      <c r="I51" s="33"/>
      <c r="J51" s="34"/>
      <c r="K51" s="33"/>
      <c r="L51" s="33"/>
      <c r="M51" s="35"/>
      <c r="N51" s="35"/>
      <c r="O51" s="33"/>
      <c r="P51" s="33"/>
      <c r="Q51" s="33"/>
      <c r="R51" s="36"/>
      <c r="S51" s="37" t="str">
        <f aca="false">IF(OR($M51="",$R51=""),"",$M51*$R51)</f>
        <v/>
      </c>
      <c r="T51" s="36"/>
      <c r="U51" s="38"/>
      <c r="V51" s="39"/>
      <c r="W51" s="37" t="str">
        <f aca="false">IF(OR($T51="",$U51="",$V51=""),"",$T51*(1-$U51)*$V51)</f>
        <v/>
      </c>
      <c r="X51" s="37" t="str">
        <f aca="false">IF(OR($N51="",$W51=""),"",$N51*$W51)</f>
        <v/>
      </c>
      <c r="Y51" s="37" t="str">
        <f aca="false">IF($S51="","",$S51+IF($X51="",0,$X51))</f>
        <v/>
      </c>
      <c r="Z51" s="33"/>
      <c r="AA51" s="33"/>
      <c r="AB51" s="34"/>
      <c r="AC51" s="34"/>
      <c r="AD51" s="40" t="str">
        <f aca="false">IF($AC51="","",$AC51+365)</f>
        <v/>
      </c>
      <c r="AE51" s="16" t="str">
        <f aca="false">IF($AD51="","",$AD51-$B$3)</f>
        <v/>
      </c>
      <c r="AF51" s="36"/>
      <c r="AG51" s="37" t="str">
        <f aca="false">IF(OR($Y51="",$AF51=""),"",$Y51-$AF51)</f>
        <v/>
      </c>
      <c r="AH51" s="33"/>
    </row>
    <row r="52" customFormat="false" ht="15" hidden="false" customHeight="true" outlineLevel="0" collapsed="false">
      <c r="A52" s="33"/>
      <c r="B52" s="33"/>
      <c r="C52" s="33"/>
      <c r="D52" s="33"/>
      <c r="E52" s="33"/>
      <c r="F52" s="33"/>
      <c r="G52" s="33"/>
      <c r="H52" s="33"/>
      <c r="I52" s="33"/>
      <c r="J52" s="34"/>
      <c r="K52" s="33"/>
      <c r="L52" s="33"/>
      <c r="M52" s="35"/>
      <c r="N52" s="35"/>
      <c r="O52" s="33"/>
      <c r="P52" s="33"/>
      <c r="Q52" s="33"/>
      <c r="R52" s="36"/>
      <c r="S52" s="37" t="str">
        <f aca="false">IF(OR($M52="",$R52=""),"",$M52*$R52)</f>
        <v/>
      </c>
      <c r="T52" s="36"/>
      <c r="U52" s="38"/>
      <c r="V52" s="39"/>
      <c r="W52" s="37" t="str">
        <f aca="false">IF(OR($T52="",$U52="",$V52=""),"",$T52*(1-$U52)*$V52)</f>
        <v/>
      </c>
      <c r="X52" s="37" t="str">
        <f aca="false">IF(OR($N52="",$W52=""),"",$N52*$W52)</f>
        <v/>
      </c>
      <c r="Y52" s="37" t="str">
        <f aca="false">IF($S52="","",$S52+IF($X52="",0,$X52))</f>
        <v/>
      </c>
      <c r="Z52" s="33"/>
      <c r="AA52" s="33"/>
      <c r="AB52" s="34"/>
      <c r="AC52" s="34"/>
      <c r="AD52" s="40" t="str">
        <f aca="false">IF($AC52="","",$AC52+365)</f>
        <v/>
      </c>
      <c r="AE52" s="16" t="str">
        <f aca="false">IF($AD52="","",$AD52-$B$3)</f>
        <v/>
      </c>
      <c r="AF52" s="36"/>
      <c r="AG52" s="37" t="str">
        <f aca="false">IF(OR($Y52="",$AF52=""),"",$Y52-$AF52)</f>
        <v/>
      </c>
      <c r="AH52" s="33"/>
    </row>
    <row r="53" customFormat="false" ht="15" hidden="false" customHeight="true" outlineLevel="0" collapsed="false">
      <c r="A53" s="33"/>
      <c r="B53" s="33"/>
      <c r="C53" s="33"/>
      <c r="D53" s="33"/>
      <c r="E53" s="33"/>
      <c r="F53" s="33"/>
      <c r="G53" s="33"/>
      <c r="H53" s="33"/>
      <c r="I53" s="33"/>
      <c r="J53" s="34"/>
      <c r="K53" s="33"/>
      <c r="L53" s="33"/>
      <c r="M53" s="35"/>
      <c r="N53" s="35"/>
      <c r="O53" s="33"/>
      <c r="P53" s="33"/>
      <c r="Q53" s="33"/>
      <c r="R53" s="36"/>
      <c r="S53" s="37" t="str">
        <f aca="false">IF(OR($M53="",$R53=""),"",$M53*$R53)</f>
        <v/>
      </c>
      <c r="T53" s="36"/>
      <c r="U53" s="38"/>
      <c r="V53" s="39"/>
      <c r="W53" s="37" t="str">
        <f aca="false">IF(OR($T53="",$U53="",$V53=""),"",$T53*(1-$U53)*$V53)</f>
        <v/>
      </c>
      <c r="X53" s="37" t="str">
        <f aca="false">IF(OR($N53="",$W53=""),"",$N53*$W53)</f>
        <v/>
      </c>
      <c r="Y53" s="37" t="str">
        <f aca="false">IF($S53="","",$S53+IF($X53="",0,$X53))</f>
        <v/>
      </c>
      <c r="Z53" s="33"/>
      <c r="AA53" s="33"/>
      <c r="AB53" s="34"/>
      <c r="AC53" s="34"/>
      <c r="AD53" s="40" t="str">
        <f aca="false">IF($AC53="","",$AC53+365)</f>
        <v/>
      </c>
      <c r="AE53" s="16" t="str">
        <f aca="false">IF($AD53="","",$AD53-$B$3)</f>
        <v/>
      </c>
      <c r="AF53" s="36"/>
      <c r="AG53" s="37" t="str">
        <f aca="false">IF(OR($Y53="",$AF53=""),"",$Y53-$AF53)</f>
        <v/>
      </c>
      <c r="AH53" s="33"/>
    </row>
    <row r="54" customFormat="false" ht="15" hidden="false" customHeight="true" outlineLevel="0" collapsed="false">
      <c r="A54" s="33"/>
      <c r="B54" s="33"/>
      <c r="C54" s="33"/>
      <c r="D54" s="33"/>
      <c r="E54" s="33"/>
      <c r="F54" s="33"/>
      <c r="G54" s="33"/>
      <c r="H54" s="33"/>
      <c r="I54" s="33"/>
      <c r="J54" s="34"/>
      <c r="K54" s="33"/>
      <c r="L54" s="33"/>
      <c r="M54" s="35"/>
      <c r="N54" s="35"/>
      <c r="O54" s="33"/>
      <c r="P54" s="33"/>
      <c r="Q54" s="33"/>
      <c r="R54" s="36"/>
      <c r="S54" s="37" t="str">
        <f aca="false">IF(OR($M54="",$R54=""),"",$M54*$R54)</f>
        <v/>
      </c>
      <c r="T54" s="36"/>
      <c r="U54" s="38"/>
      <c r="V54" s="39"/>
      <c r="W54" s="37" t="str">
        <f aca="false">IF(OR($T54="",$U54="",$V54=""),"",$T54*(1-$U54)*$V54)</f>
        <v/>
      </c>
      <c r="X54" s="37" t="str">
        <f aca="false">IF(OR($N54="",$W54=""),"",$N54*$W54)</f>
        <v/>
      </c>
      <c r="Y54" s="37" t="str">
        <f aca="false">IF($S54="","",$S54+IF($X54="",0,$X54))</f>
        <v/>
      </c>
      <c r="Z54" s="33"/>
      <c r="AA54" s="33"/>
      <c r="AB54" s="34"/>
      <c r="AC54" s="34"/>
      <c r="AD54" s="40" t="str">
        <f aca="false">IF($AC54="","",$AC54+365)</f>
        <v/>
      </c>
      <c r="AE54" s="16" t="str">
        <f aca="false">IF($AD54="","",$AD54-$B$3)</f>
        <v/>
      </c>
      <c r="AF54" s="36"/>
      <c r="AG54" s="37" t="str">
        <f aca="false">IF(OR($Y54="",$AF54=""),"",$Y54-$AF54)</f>
        <v/>
      </c>
      <c r="AH54" s="33"/>
    </row>
    <row r="55" customFormat="false" ht="15" hidden="false" customHeight="true" outlineLevel="0" collapsed="false">
      <c r="A55" s="33"/>
      <c r="B55" s="33"/>
      <c r="C55" s="33"/>
      <c r="D55" s="33"/>
      <c r="E55" s="33"/>
      <c r="F55" s="33"/>
      <c r="G55" s="33"/>
      <c r="H55" s="33"/>
      <c r="I55" s="33"/>
      <c r="J55" s="34"/>
      <c r="K55" s="33"/>
      <c r="L55" s="33"/>
      <c r="M55" s="35"/>
      <c r="N55" s="35"/>
      <c r="O55" s="33"/>
      <c r="P55" s="33"/>
      <c r="Q55" s="33"/>
      <c r="R55" s="36"/>
      <c r="S55" s="37" t="str">
        <f aca="false">IF(OR($M55="",$R55=""),"",$M55*$R55)</f>
        <v/>
      </c>
      <c r="T55" s="36"/>
      <c r="U55" s="38"/>
      <c r="V55" s="39"/>
      <c r="W55" s="37" t="str">
        <f aca="false">IF(OR($T55="",$U55="",$V55=""),"",$T55*(1-$U55)*$V55)</f>
        <v/>
      </c>
      <c r="X55" s="37" t="str">
        <f aca="false">IF(OR($N55="",$W55=""),"",$N55*$W55)</f>
        <v/>
      </c>
      <c r="Y55" s="37" t="str">
        <f aca="false">IF($S55="","",$S55+IF($X55="",0,$X55))</f>
        <v/>
      </c>
      <c r="Z55" s="33"/>
      <c r="AA55" s="33"/>
      <c r="AB55" s="34"/>
      <c r="AC55" s="34"/>
      <c r="AD55" s="40" t="str">
        <f aca="false">IF($AC55="","",$AC55+365)</f>
        <v/>
      </c>
      <c r="AE55" s="16" t="str">
        <f aca="false">IF($AD55="","",$AD55-$B$3)</f>
        <v/>
      </c>
      <c r="AF55" s="36"/>
      <c r="AG55" s="37" t="str">
        <f aca="false">IF(OR($Y55="",$AF55=""),"",$Y55-$AF55)</f>
        <v/>
      </c>
      <c r="AH55" s="33"/>
    </row>
    <row r="56" customFormat="false" ht="15" hidden="false" customHeight="true" outlineLevel="0" collapsed="false">
      <c r="A56" s="33"/>
      <c r="B56" s="33"/>
      <c r="C56" s="33"/>
      <c r="D56" s="33"/>
      <c r="E56" s="33"/>
      <c r="F56" s="33"/>
      <c r="G56" s="33"/>
      <c r="H56" s="33"/>
      <c r="I56" s="33"/>
      <c r="J56" s="34"/>
      <c r="K56" s="33"/>
      <c r="L56" s="33"/>
      <c r="M56" s="35"/>
      <c r="N56" s="35"/>
      <c r="O56" s="33"/>
      <c r="P56" s="33"/>
      <c r="Q56" s="33"/>
      <c r="R56" s="36"/>
      <c r="S56" s="37" t="str">
        <f aca="false">IF(OR($M56="",$R56=""),"",$M56*$R56)</f>
        <v/>
      </c>
      <c r="T56" s="36"/>
      <c r="U56" s="38"/>
      <c r="V56" s="39"/>
      <c r="W56" s="37" t="str">
        <f aca="false">IF(OR($T56="",$U56="",$V56=""),"",$T56*(1-$U56)*$V56)</f>
        <v/>
      </c>
      <c r="X56" s="37" t="str">
        <f aca="false">IF(OR($N56="",$W56=""),"",$N56*$W56)</f>
        <v/>
      </c>
      <c r="Y56" s="37" t="str">
        <f aca="false">IF($S56="","",$S56+IF($X56="",0,$X56))</f>
        <v/>
      </c>
      <c r="Z56" s="33"/>
      <c r="AA56" s="33"/>
      <c r="AB56" s="34"/>
      <c r="AC56" s="34"/>
      <c r="AD56" s="40" t="str">
        <f aca="false">IF($AC56="","",$AC56+365)</f>
        <v/>
      </c>
      <c r="AE56" s="16" t="str">
        <f aca="false">IF($AD56="","",$AD56-$B$3)</f>
        <v/>
      </c>
      <c r="AF56" s="36"/>
      <c r="AG56" s="37" t="str">
        <f aca="false">IF(OR($Y56="",$AF56=""),"",$Y56-$AF56)</f>
        <v/>
      </c>
      <c r="AH56" s="33"/>
    </row>
    <row r="57" customFormat="false" ht="15" hidden="false" customHeight="true" outlineLevel="0" collapsed="false">
      <c r="A57" s="33"/>
      <c r="B57" s="33"/>
      <c r="C57" s="33"/>
      <c r="D57" s="33"/>
      <c r="E57" s="33"/>
      <c r="F57" s="33"/>
      <c r="G57" s="33"/>
      <c r="H57" s="33"/>
      <c r="I57" s="33"/>
      <c r="J57" s="34"/>
      <c r="K57" s="33"/>
      <c r="L57" s="33"/>
      <c r="M57" s="35"/>
      <c r="N57" s="35"/>
      <c r="O57" s="33"/>
      <c r="P57" s="33"/>
      <c r="Q57" s="33"/>
      <c r="R57" s="36"/>
      <c r="S57" s="37" t="str">
        <f aca="false">IF(OR($M57="",$R57=""),"",$M57*$R57)</f>
        <v/>
      </c>
      <c r="T57" s="36"/>
      <c r="U57" s="38"/>
      <c r="V57" s="39"/>
      <c r="W57" s="37" t="str">
        <f aca="false">IF(OR($T57="",$U57="",$V57=""),"",$T57*(1-$U57)*$V57)</f>
        <v/>
      </c>
      <c r="X57" s="37" t="str">
        <f aca="false">IF(OR($N57="",$W57=""),"",$N57*$W57)</f>
        <v/>
      </c>
      <c r="Y57" s="37" t="str">
        <f aca="false">IF($S57="","",$S57+IF($X57="",0,$X57))</f>
        <v/>
      </c>
      <c r="Z57" s="33"/>
      <c r="AA57" s="33"/>
      <c r="AB57" s="34"/>
      <c r="AC57" s="34"/>
      <c r="AD57" s="40" t="str">
        <f aca="false">IF($AC57="","",$AC57+365)</f>
        <v/>
      </c>
      <c r="AE57" s="16" t="str">
        <f aca="false">IF($AD57="","",$AD57-$B$3)</f>
        <v/>
      </c>
      <c r="AF57" s="36"/>
      <c r="AG57" s="37" t="str">
        <f aca="false">IF(OR($Y57="",$AF57=""),"",$Y57-$AF57)</f>
        <v/>
      </c>
      <c r="AH57" s="33"/>
    </row>
    <row r="58" customFormat="false" ht="15" hidden="false" customHeight="true" outlineLevel="0" collapsed="false">
      <c r="A58" s="33"/>
      <c r="B58" s="33"/>
      <c r="C58" s="33"/>
      <c r="D58" s="33"/>
      <c r="E58" s="33"/>
      <c r="F58" s="33"/>
      <c r="G58" s="33"/>
      <c r="H58" s="33"/>
      <c r="I58" s="33"/>
      <c r="J58" s="34"/>
      <c r="K58" s="33"/>
      <c r="L58" s="33"/>
      <c r="M58" s="35"/>
      <c r="N58" s="35"/>
      <c r="O58" s="33"/>
      <c r="P58" s="33"/>
      <c r="Q58" s="33"/>
      <c r="R58" s="36"/>
      <c r="S58" s="37" t="str">
        <f aca="false">IF(OR($M58="",$R58=""),"",$M58*$R58)</f>
        <v/>
      </c>
      <c r="T58" s="36"/>
      <c r="U58" s="38"/>
      <c r="V58" s="39"/>
      <c r="W58" s="37" t="str">
        <f aca="false">IF(OR($T58="",$U58="",$V58=""),"",$T58*(1-$U58)*$V58)</f>
        <v/>
      </c>
      <c r="X58" s="37" t="str">
        <f aca="false">IF(OR($N58="",$W58=""),"",$N58*$W58)</f>
        <v/>
      </c>
      <c r="Y58" s="37" t="str">
        <f aca="false">IF($S58="","",$S58+IF($X58="",0,$X58))</f>
        <v/>
      </c>
      <c r="Z58" s="33"/>
      <c r="AA58" s="33"/>
      <c r="AB58" s="34"/>
      <c r="AC58" s="34"/>
      <c r="AD58" s="40" t="str">
        <f aca="false">IF($AC58="","",$AC58+365)</f>
        <v/>
      </c>
      <c r="AE58" s="16" t="str">
        <f aca="false">IF($AD58="","",$AD58-$B$3)</f>
        <v/>
      </c>
      <c r="AF58" s="36"/>
      <c r="AG58" s="37" t="str">
        <f aca="false">IF(OR($Y58="",$AF58=""),"",$Y58-$AF58)</f>
        <v/>
      </c>
      <c r="AH58" s="33"/>
    </row>
    <row r="59" customFormat="false" ht="15" hidden="false" customHeight="true" outlineLevel="0" collapsed="false">
      <c r="A59" s="33"/>
      <c r="B59" s="33"/>
      <c r="C59" s="33"/>
      <c r="D59" s="33"/>
      <c r="E59" s="33"/>
      <c r="F59" s="33"/>
      <c r="G59" s="33"/>
      <c r="H59" s="33"/>
      <c r="I59" s="33"/>
      <c r="J59" s="34"/>
      <c r="K59" s="33"/>
      <c r="L59" s="33"/>
      <c r="M59" s="35"/>
      <c r="N59" s="35"/>
      <c r="O59" s="33"/>
      <c r="P59" s="33"/>
      <c r="Q59" s="33"/>
      <c r="R59" s="36"/>
      <c r="S59" s="37" t="str">
        <f aca="false">IF(OR($M59="",$R59=""),"",$M59*$R59)</f>
        <v/>
      </c>
      <c r="T59" s="36"/>
      <c r="U59" s="38"/>
      <c r="V59" s="39"/>
      <c r="W59" s="37" t="str">
        <f aca="false">IF(OR($T59="",$U59="",$V59=""),"",$T59*(1-$U59)*$V59)</f>
        <v/>
      </c>
      <c r="X59" s="37" t="str">
        <f aca="false">IF(OR($N59="",$W59=""),"",$N59*$W59)</f>
        <v/>
      </c>
      <c r="Y59" s="37" t="str">
        <f aca="false">IF($S59="","",$S59+IF($X59="",0,$X59))</f>
        <v/>
      </c>
      <c r="Z59" s="33"/>
      <c r="AA59" s="33"/>
      <c r="AB59" s="34"/>
      <c r="AC59" s="34"/>
      <c r="AD59" s="40" t="str">
        <f aca="false">IF($AC59="","",$AC59+365)</f>
        <v/>
      </c>
      <c r="AE59" s="16" t="str">
        <f aca="false">IF($AD59="","",$AD59-$B$3)</f>
        <v/>
      </c>
      <c r="AF59" s="36"/>
      <c r="AG59" s="37" t="str">
        <f aca="false">IF(OR($Y59="",$AF59=""),"",$Y59-$AF59)</f>
        <v/>
      </c>
      <c r="AH59" s="33"/>
    </row>
    <row r="60" customFormat="false" ht="15" hidden="false" customHeight="true" outlineLevel="0" collapsed="false">
      <c r="A60" s="33"/>
      <c r="B60" s="33"/>
      <c r="C60" s="33"/>
      <c r="D60" s="33"/>
      <c r="E60" s="33"/>
      <c r="F60" s="33"/>
      <c r="G60" s="33"/>
      <c r="H60" s="33"/>
      <c r="I60" s="33"/>
      <c r="J60" s="34"/>
      <c r="K60" s="33"/>
      <c r="L60" s="33"/>
      <c r="M60" s="35"/>
      <c r="N60" s="35"/>
      <c r="O60" s="33"/>
      <c r="P60" s="33"/>
      <c r="Q60" s="33"/>
      <c r="R60" s="36"/>
      <c r="S60" s="37" t="str">
        <f aca="false">IF(OR($M60="",$R60=""),"",$M60*$R60)</f>
        <v/>
      </c>
      <c r="T60" s="36"/>
      <c r="U60" s="38"/>
      <c r="V60" s="39"/>
      <c r="W60" s="37" t="str">
        <f aca="false">IF(OR($T60="",$U60="",$V60=""),"",$T60*(1-$U60)*$V60)</f>
        <v/>
      </c>
      <c r="X60" s="37" t="str">
        <f aca="false">IF(OR($N60="",$W60=""),"",$N60*$W60)</f>
        <v/>
      </c>
      <c r="Y60" s="37" t="str">
        <f aca="false">IF($S60="","",$S60+IF($X60="",0,$X60))</f>
        <v/>
      </c>
      <c r="Z60" s="33"/>
      <c r="AA60" s="33"/>
      <c r="AB60" s="34"/>
      <c r="AC60" s="34"/>
      <c r="AD60" s="40" t="str">
        <f aca="false">IF($AC60="","",$AC60+365)</f>
        <v/>
      </c>
      <c r="AE60" s="16" t="str">
        <f aca="false">IF($AD60="","",$AD60-$B$3)</f>
        <v/>
      </c>
      <c r="AF60" s="36"/>
      <c r="AG60" s="37" t="str">
        <f aca="false">IF(OR($Y60="",$AF60=""),"",$Y60-$AF60)</f>
        <v/>
      </c>
      <c r="AH60" s="33"/>
    </row>
    <row r="61" customFormat="false" ht="15" hidden="false" customHeight="true" outlineLevel="0" collapsed="false">
      <c r="A61" s="33"/>
      <c r="B61" s="33"/>
      <c r="C61" s="33"/>
      <c r="D61" s="33"/>
      <c r="E61" s="33"/>
      <c r="F61" s="33"/>
      <c r="G61" s="33"/>
      <c r="H61" s="33"/>
      <c r="I61" s="33"/>
      <c r="J61" s="34"/>
      <c r="K61" s="33"/>
      <c r="L61" s="33"/>
      <c r="M61" s="35"/>
      <c r="N61" s="35"/>
      <c r="O61" s="33"/>
      <c r="P61" s="33"/>
      <c r="Q61" s="33"/>
      <c r="R61" s="36"/>
      <c r="S61" s="37" t="str">
        <f aca="false">IF(OR($M61="",$R61=""),"",$M61*$R61)</f>
        <v/>
      </c>
      <c r="T61" s="36"/>
      <c r="U61" s="38"/>
      <c r="V61" s="39"/>
      <c r="W61" s="37" t="str">
        <f aca="false">IF(OR($T61="",$U61="",$V61=""),"",$T61*(1-$U61)*$V61)</f>
        <v/>
      </c>
      <c r="X61" s="37" t="str">
        <f aca="false">IF(OR($N61="",$W61=""),"",$N61*$W61)</f>
        <v/>
      </c>
      <c r="Y61" s="37" t="str">
        <f aca="false">IF($S61="","",$S61+IF($X61="",0,$X61))</f>
        <v/>
      </c>
      <c r="Z61" s="33"/>
      <c r="AA61" s="33"/>
      <c r="AB61" s="34"/>
      <c r="AC61" s="34"/>
      <c r="AD61" s="40" t="str">
        <f aca="false">IF($AC61="","",$AC61+365)</f>
        <v/>
      </c>
      <c r="AE61" s="16" t="str">
        <f aca="false">IF($AD61="","",$AD61-$B$3)</f>
        <v/>
      </c>
      <c r="AF61" s="36"/>
      <c r="AG61" s="37" t="str">
        <f aca="false">IF(OR($Y61="",$AF61=""),"",$Y61-$AF61)</f>
        <v/>
      </c>
      <c r="AH61" s="33"/>
    </row>
    <row r="62" customFormat="false" ht="15" hidden="false" customHeight="true" outlineLevel="0" collapsed="false">
      <c r="A62" s="33"/>
      <c r="B62" s="33"/>
      <c r="C62" s="33"/>
      <c r="D62" s="33"/>
      <c r="E62" s="33"/>
      <c r="F62" s="33"/>
      <c r="G62" s="33"/>
      <c r="H62" s="33"/>
      <c r="I62" s="33"/>
      <c r="J62" s="34"/>
      <c r="K62" s="33"/>
      <c r="L62" s="33"/>
      <c r="M62" s="35"/>
      <c r="N62" s="35"/>
      <c r="O62" s="33"/>
      <c r="P62" s="33"/>
      <c r="Q62" s="33"/>
      <c r="R62" s="36"/>
      <c r="S62" s="37" t="str">
        <f aca="false">IF(OR($M62="",$R62=""),"",$M62*$R62)</f>
        <v/>
      </c>
      <c r="T62" s="36"/>
      <c r="U62" s="38"/>
      <c r="V62" s="39"/>
      <c r="W62" s="37" t="str">
        <f aca="false">IF(OR($T62="",$U62="",$V62=""),"",$T62*(1-$U62)*$V62)</f>
        <v/>
      </c>
      <c r="X62" s="37" t="str">
        <f aca="false">IF(OR($N62="",$W62=""),"",$N62*$W62)</f>
        <v/>
      </c>
      <c r="Y62" s="37" t="str">
        <f aca="false">IF($S62="","",$S62+IF($X62="",0,$X62))</f>
        <v/>
      </c>
      <c r="Z62" s="33"/>
      <c r="AA62" s="33"/>
      <c r="AB62" s="34"/>
      <c r="AC62" s="34"/>
      <c r="AD62" s="40" t="str">
        <f aca="false">IF($AC62="","",$AC62+365)</f>
        <v/>
      </c>
      <c r="AE62" s="16" t="str">
        <f aca="false">IF($AD62="","",$AD62-$B$3)</f>
        <v/>
      </c>
      <c r="AF62" s="36"/>
      <c r="AG62" s="37" t="str">
        <f aca="false">IF(OR($Y62="",$AF62=""),"",$Y62-$AF62)</f>
        <v/>
      </c>
      <c r="AH62" s="33"/>
    </row>
    <row r="63" customFormat="false" ht="15" hidden="false" customHeight="true" outlineLevel="0" collapsed="false">
      <c r="A63" s="33"/>
      <c r="B63" s="33"/>
      <c r="C63" s="33"/>
      <c r="D63" s="33"/>
      <c r="E63" s="33"/>
      <c r="F63" s="33"/>
      <c r="G63" s="33"/>
      <c r="H63" s="33"/>
      <c r="I63" s="33"/>
      <c r="J63" s="34"/>
      <c r="K63" s="33"/>
      <c r="L63" s="33"/>
      <c r="M63" s="35"/>
      <c r="N63" s="35"/>
      <c r="O63" s="33"/>
      <c r="P63" s="33"/>
      <c r="Q63" s="33"/>
      <c r="R63" s="36"/>
      <c r="S63" s="37" t="str">
        <f aca="false">IF(OR($M63="",$R63=""),"",$M63*$R63)</f>
        <v/>
      </c>
      <c r="T63" s="36"/>
      <c r="U63" s="38"/>
      <c r="V63" s="39"/>
      <c r="W63" s="37" t="str">
        <f aca="false">IF(OR($T63="",$U63="",$V63=""),"",$T63*(1-$U63)*$V63)</f>
        <v/>
      </c>
      <c r="X63" s="37" t="str">
        <f aca="false">IF(OR($N63="",$W63=""),"",$N63*$W63)</f>
        <v/>
      </c>
      <c r="Y63" s="37" t="str">
        <f aca="false">IF($S63="","",$S63+IF($X63="",0,$X63))</f>
        <v/>
      </c>
      <c r="Z63" s="33"/>
      <c r="AA63" s="33"/>
      <c r="AB63" s="34"/>
      <c r="AC63" s="34"/>
      <c r="AD63" s="40" t="str">
        <f aca="false">IF($AC63="","",$AC63+365)</f>
        <v/>
      </c>
      <c r="AE63" s="16" t="str">
        <f aca="false">IF($AD63="","",$AD63-$B$3)</f>
        <v/>
      </c>
      <c r="AF63" s="36"/>
      <c r="AG63" s="37" t="str">
        <f aca="false">IF(OR($Y63="",$AF63=""),"",$Y63-$AF63)</f>
        <v/>
      </c>
      <c r="AH63" s="33"/>
    </row>
    <row r="64" customFormat="false" ht="15" hidden="false" customHeight="true" outlineLevel="0" collapsed="false">
      <c r="A64" s="33"/>
      <c r="B64" s="33"/>
      <c r="C64" s="33"/>
      <c r="D64" s="33"/>
      <c r="E64" s="33"/>
      <c r="F64" s="33"/>
      <c r="G64" s="33"/>
      <c r="H64" s="33"/>
      <c r="I64" s="33"/>
      <c r="J64" s="34"/>
      <c r="K64" s="33"/>
      <c r="L64" s="33"/>
      <c r="M64" s="35"/>
      <c r="N64" s="35"/>
      <c r="O64" s="33"/>
      <c r="P64" s="33"/>
      <c r="Q64" s="33"/>
      <c r="R64" s="36"/>
      <c r="S64" s="37" t="str">
        <f aca="false">IF(OR($M64="",$R64=""),"",$M64*$R64)</f>
        <v/>
      </c>
      <c r="T64" s="36"/>
      <c r="U64" s="38"/>
      <c r="V64" s="39"/>
      <c r="W64" s="37" t="str">
        <f aca="false">IF(OR($T64="",$U64="",$V64=""),"",$T64*(1-$U64)*$V64)</f>
        <v/>
      </c>
      <c r="X64" s="37" t="str">
        <f aca="false">IF(OR($N64="",$W64=""),"",$N64*$W64)</f>
        <v/>
      </c>
      <c r="Y64" s="37" t="str">
        <f aca="false">IF($S64="","",$S64+IF($X64="",0,$X64))</f>
        <v/>
      </c>
      <c r="Z64" s="33"/>
      <c r="AA64" s="33"/>
      <c r="AB64" s="34"/>
      <c r="AC64" s="34"/>
      <c r="AD64" s="40" t="str">
        <f aca="false">IF($AC64="","",$AC64+365)</f>
        <v/>
      </c>
      <c r="AE64" s="16" t="str">
        <f aca="false">IF($AD64="","",$AD64-$B$3)</f>
        <v/>
      </c>
      <c r="AF64" s="36"/>
      <c r="AG64" s="37" t="str">
        <f aca="false">IF(OR($Y64="",$AF64=""),"",$Y64-$AF64)</f>
        <v/>
      </c>
      <c r="AH64" s="33"/>
    </row>
    <row r="65" customFormat="false" ht="15" hidden="false" customHeight="true" outlineLevel="0" collapsed="false">
      <c r="A65" s="33"/>
      <c r="B65" s="33"/>
      <c r="C65" s="33"/>
      <c r="D65" s="33"/>
      <c r="E65" s="33"/>
      <c r="F65" s="33"/>
      <c r="G65" s="33"/>
      <c r="H65" s="33"/>
      <c r="I65" s="33"/>
      <c r="J65" s="34"/>
      <c r="K65" s="33"/>
      <c r="L65" s="33"/>
      <c r="M65" s="35"/>
      <c r="N65" s="35"/>
      <c r="O65" s="33"/>
      <c r="P65" s="33"/>
      <c r="Q65" s="33"/>
      <c r="R65" s="36"/>
      <c r="S65" s="37" t="str">
        <f aca="false">IF(OR($M65="",$R65=""),"",$M65*$R65)</f>
        <v/>
      </c>
      <c r="T65" s="36"/>
      <c r="U65" s="38"/>
      <c r="V65" s="39"/>
      <c r="W65" s="37" t="str">
        <f aca="false">IF(OR($T65="",$U65="",$V65=""),"",$T65*(1-$U65)*$V65)</f>
        <v/>
      </c>
      <c r="X65" s="37" t="str">
        <f aca="false">IF(OR($N65="",$W65=""),"",$N65*$W65)</f>
        <v/>
      </c>
      <c r="Y65" s="37" t="str">
        <f aca="false">IF($S65="","",$S65+IF($X65="",0,$X65))</f>
        <v/>
      </c>
      <c r="Z65" s="33"/>
      <c r="AA65" s="33"/>
      <c r="AB65" s="34"/>
      <c r="AC65" s="34"/>
      <c r="AD65" s="40" t="str">
        <f aca="false">IF($AC65="","",$AC65+365)</f>
        <v/>
      </c>
      <c r="AE65" s="16" t="str">
        <f aca="false">IF($AD65="","",$AD65-$B$3)</f>
        <v/>
      </c>
      <c r="AF65" s="36"/>
      <c r="AG65" s="37" t="str">
        <f aca="false">IF(OR($Y65="",$AF65=""),"",$Y65-$AF65)</f>
        <v/>
      </c>
      <c r="AH65" s="33"/>
    </row>
    <row r="66" customFormat="false" ht="15" hidden="false" customHeight="true" outlineLevel="0" collapsed="false">
      <c r="A66" s="33"/>
      <c r="B66" s="33"/>
      <c r="C66" s="33"/>
      <c r="D66" s="33"/>
      <c r="E66" s="33"/>
      <c r="F66" s="33"/>
      <c r="G66" s="33"/>
      <c r="H66" s="33"/>
      <c r="I66" s="33"/>
      <c r="J66" s="34"/>
      <c r="K66" s="33"/>
      <c r="L66" s="33"/>
      <c r="M66" s="35"/>
      <c r="N66" s="35"/>
      <c r="O66" s="33"/>
      <c r="P66" s="33"/>
      <c r="Q66" s="33"/>
      <c r="R66" s="36"/>
      <c r="S66" s="37" t="str">
        <f aca="false">IF(OR($M66="",$R66=""),"",$M66*$R66)</f>
        <v/>
      </c>
      <c r="T66" s="36"/>
      <c r="U66" s="38"/>
      <c r="V66" s="39"/>
      <c r="W66" s="37" t="str">
        <f aca="false">IF(OR($T66="",$U66="",$V66=""),"",$T66*(1-$U66)*$V66)</f>
        <v/>
      </c>
      <c r="X66" s="37" t="str">
        <f aca="false">IF(OR($N66="",$W66=""),"",$N66*$W66)</f>
        <v/>
      </c>
      <c r="Y66" s="37" t="str">
        <f aca="false">IF($S66="","",$S66+IF($X66="",0,$X66))</f>
        <v/>
      </c>
      <c r="Z66" s="33"/>
      <c r="AA66" s="33"/>
      <c r="AB66" s="34"/>
      <c r="AC66" s="34"/>
      <c r="AD66" s="40" t="str">
        <f aca="false">IF($AC66="","",$AC66+365)</f>
        <v/>
      </c>
      <c r="AE66" s="16" t="str">
        <f aca="false">IF($AD66="","",$AD66-$B$3)</f>
        <v/>
      </c>
      <c r="AF66" s="36"/>
      <c r="AG66" s="37" t="str">
        <f aca="false">IF(OR($Y66="",$AF66=""),"",$Y66-$AF66)</f>
        <v/>
      </c>
      <c r="AH66" s="33"/>
    </row>
    <row r="67" customFormat="false" ht="15" hidden="false" customHeight="true" outlineLevel="0" collapsed="false">
      <c r="A67" s="33"/>
      <c r="B67" s="33"/>
      <c r="C67" s="33"/>
      <c r="D67" s="33"/>
      <c r="E67" s="33"/>
      <c r="F67" s="33"/>
      <c r="G67" s="33"/>
      <c r="H67" s="33"/>
      <c r="I67" s="33"/>
      <c r="J67" s="34"/>
      <c r="K67" s="33"/>
      <c r="L67" s="33"/>
      <c r="M67" s="35"/>
      <c r="N67" s="35"/>
      <c r="O67" s="33"/>
      <c r="P67" s="33"/>
      <c r="Q67" s="33"/>
      <c r="R67" s="36"/>
      <c r="S67" s="37" t="str">
        <f aca="false">IF(OR($M67="",$R67=""),"",$M67*$R67)</f>
        <v/>
      </c>
      <c r="T67" s="36"/>
      <c r="U67" s="38"/>
      <c r="V67" s="39"/>
      <c r="W67" s="37" t="str">
        <f aca="false">IF(OR($T67="",$U67="",$V67=""),"",$T67*(1-$U67)*$V67)</f>
        <v/>
      </c>
      <c r="X67" s="37" t="str">
        <f aca="false">IF(OR($N67="",$W67=""),"",$N67*$W67)</f>
        <v/>
      </c>
      <c r="Y67" s="37" t="str">
        <f aca="false">IF($S67="","",$S67+IF($X67="",0,$X67))</f>
        <v/>
      </c>
      <c r="Z67" s="33"/>
      <c r="AA67" s="33"/>
      <c r="AB67" s="34"/>
      <c r="AC67" s="34"/>
      <c r="AD67" s="40" t="str">
        <f aca="false">IF($AC67="","",$AC67+365)</f>
        <v/>
      </c>
      <c r="AE67" s="16" t="str">
        <f aca="false">IF($AD67="","",$AD67-$B$3)</f>
        <v/>
      </c>
      <c r="AF67" s="36"/>
      <c r="AG67" s="37" t="str">
        <f aca="false">IF(OR($Y67="",$AF67=""),"",$Y67-$AF67)</f>
        <v/>
      </c>
      <c r="AH67" s="33"/>
    </row>
    <row r="68" customFormat="false" ht="15" hidden="false" customHeight="true" outlineLevel="0" collapsed="false">
      <c r="A68" s="33"/>
      <c r="B68" s="33"/>
      <c r="C68" s="33"/>
      <c r="D68" s="33"/>
      <c r="E68" s="33"/>
      <c r="F68" s="33"/>
      <c r="G68" s="33"/>
      <c r="H68" s="33"/>
      <c r="I68" s="33"/>
      <c r="J68" s="34"/>
      <c r="K68" s="33"/>
      <c r="L68" s="33"/>
      <c r="M68" s="35"/>
      <c r="N68" s="35"/>
      <c r="O68" s="33"/>
      <c r="P68" s="33"/>
      <c r="Q68" s="33"/>
      <c r="R68" s="36"/>
      <c r="S68" s="37" t="str">
        <f aca="false">IF(OR($M68="",$R68=""),"",$M68*$R68)</f>
        <v/>
      </c>
      <c r="T68" s="36"/>
      <c r="U68" s="38"/>
      <c r="V68" s="39"/>
      <c r="W68" s="37" t="str">
        <f aca="false">IF(OR($T68="",$U68="",$V68=""),"",$T68*(1-$U68)*$V68)</f>
        <v/>
      </c>
      <c r="X68" s="37" t="str">
        <f aca="false">IF(OR($N68="",$W68=""),"",$N68*$W68)</f>
        <v/>
      </c>
      <c r="Y68" s="37" t="str">
        <f aca="false">IF($S68="","",$S68+IF($X68="",0,$X68))</f>
        <v/>
      </c>
      <c r="Z68" s="33"/>
      <c r="AA68" s="33"/>
      <c r="AB68" s="34"/>
      <c r="AC68" s="34"/>
      <c r="AD68" s="40" t="str">
        <f aca="false">IF($AC68="","",$AC68+365)</f>
        <v/>
      </c>
      <c r="AE68" s="16" t="str">
        <f aca="false">IF($AD68="","",$AD68-$B$3)</f>
        <v/>
      </c>
      <c r="AF68" s="36"/>
      <c r="AG68" s="37" t="str">
        <f aca="false">IF(OR($Y68="",$AF68=""),"",$Y68-$AF68)</f>
        <v/>
      </c>
      <c r="AH68" s="33"/>
    </row>
    <row r="69" customFormat="false" ht="15" hidden="false" customHeight="true" outlineLevel="0" collapsed="false">
      <c r="A69" s="33"/>
      <c r="B69" s="33"/>
      <c r="C69" s="33"/>
      <c r="D69" s="33"/>
      <c r="E69" s="33"/>
      <c r="F69" s="33"/>
      <c r="G69" s="33"/>
      <c r="H69" s="33"/>
      <c r="I69" s="33"/>
      <c r="J69" s="34"/>
      <c r="K69" s="33"/>
      <c r="L69" s="33"/>
      <c r="M69" s="35"/>
      <c r="N69" s="35"/>
      <c r="O69" s="33"/>
      <c r="P69" s="33"/>
      <c r="Q69" s="33"/>
      <c r="R69" s="36"/>
      <c r="S69" s="37" t="str">
        <f aca="false">IF(OR($M69="",$R69=""),"",$M69*$R69)</f>
        <v/>
      </c>
      <c r="T69" s="36"/>
      <c r="U69" s="38"/>
      <c r="V69" s="39"/>
      <c r="W69" s="37" t="str">
        <f aca="false">IF(OR($T69="",$U69="",$V69=""),"",$T69*(1-$U69)*$V69)</f>
        <v/>
      </c>
      <c r="X69" s="37" t="str">
        <f aca="false">IF(OR($N69="",$W69=""),"",$N69*$W69)</f>
        <v/>
      </c>
      <c r="Y69" s="37" t="str">
        <f aca="false">IF($S69="","",$S69+IF($X69="",0,$X69))</f>
        <v/>
      </c>
      <c r="Z69" s="33"/>
      <c r="AA69" s="33"/>
      <c r="AB69" s="34"/>
      <c r="AC69" s="34"/>
      <c r="AD69" s="40" t="str">
        <f aca="false">IF($AC69="","",$AC69+365)</f>
        <v/>
      </c>
      <c r="AE69" s="16" t="str">
        <f aca="false">IF($AD69="","",$AD69-$B$3)</f>
        <v/>
      </c>
      <c r="AF69" s="36"/>
      <c r="AG69" s="37" t="str">
        <f aca="false">IF(OR($Y69="",$AF69=""),"",$Y69-$AF69)</f>
        <v/>
      </c>
      <c r="AH69" s="33"/>
    </row>
    <row r="70" customFormat="false" ht="15" hidden="false" customHeight="true" outlineLevel="0" collapsed="false">
      <c r="A70" s="33"/>
      <c r="B70" s="33"/>
      <c r="C70" s="33"/>
      <c r="D70" s="33"/>
      <c r="E70" s="33"/>
      <c r="F70" s="33"/>
      <c r="G70" s="33"/>
      <c r="H70" s="33"/>
      <c r="I70" s="33"/>
      <c r="J70" s="34"/>
      <c r="K70" s="33"/>
      <c r="L70" s="33"/>
      <c r="M70" s="35"/>
      <c r="N70" s="35"/>
      <c r="O70" s="33"/>
      <c r="P70" s="33"/>
      <c r="Q70" s="33"/>
      <c r="R70" s="36"/>
      <c r="S70" s="37" t="str">
        <f aca="false">IF(OR($M70="",$R70=""),"",$M70*$R70)</f>
        <v/>
      </c>
      <c r="T70" s="36"/>
      <c r="U70" s="38"/>
      <c r="V70" s="39"/>
      <c r="W70" s="37" t="str">
        <f aca="false">IF(OR($T70="",$U70="",$V70=""),"",$T70*(1-$U70)*$V70)</f>
        <v/>
      </c>
      <c r="X70" s="37" t="str">
        <f aca="false">IF(OR($N70="",$W70=""),"",$N70*$W70)</f>
        <v/>
      </c>
      <c r="Y70" s="37" t="str">
        <f aca="false">IF($S70="","",$S70+IF($X70="",0,$X70))</f>
        <v/>
      </c>
      <c r="Z70" s="33"/>
      <c r="AA70" s="33"/>
      <c r="AB70" s="34"/>
      <c r="AC70" s="34"/>
      <c r="AD70" s="40" t="str">
        <f aca="false">IF($AC70="","",$AC70+365)</f>
        <v/>
      </c>
      <c r="AE70" s="16" t="str">
        <f aca="false">IF($AD70="","",$AD70-$B$3)</f>
        <v/>
      </c>
      <c r="AF70" s="36"/>
      <c r="AG70" s="37" t="str">
        <f aca="false">IF(OR($Y70="",$AF70=""),"",$Y70-$AF70)</f>
        <v/>
      </c>
      <c r="AH70" s="33"/>
    </row>
    <row r="71" customFormat="false" ht="15" hidden="false" customHeight="true" outlineLevel="0" collapsed="false">
      <c r="A71" s="33"/>
      <c r="B71" s="33"/>
      <c r="C71" s="33"/>
      <c r="D71" s="33"/>
      <c r="E71" s="33"/>
      <c r="F71" s="33"/>
      <c r="G71" s="33"/>
      <c r="H71" s="33"/>
      <c r="I71" s="33"/>
      <c r="J71" s="34"/>
      <c r="K71" s="33"/>
      <c r="L71" s="33"/>
      <c r="M71" s="35"/>
      <c r="N71" s="35"/>
      <c r="O71" s="33"/>
      <c r="P71" s="33"/>
      <c r="Q71" s="33"/>
      <c r="R71" s="36"/>
      <c r="S71" s="37" t="str">
        <f aca="false">IF(OR($M71="",$R71=""),"",$M71*$R71)</f>
        <v/>
      </c>
      <c r="T71" s="36"/>
      <c r="U71" s="38"/>
      <c r="V71" s="39"/>
      <c r="W71" s="37" t="str">
        <f aca="false">IF(OR($T71="",$U71="",$V71=""),"",$T71*(1-$U71)*$V71)</f>
        <v/>
      </c>
      <c r="X71" s="37" t="str">
        <f aca="false">IF(OR($N71="",$W71=""),"",$N71*$W71)</f>
        <v/>
      </c>
      <c r="Y71" s="37" t="str">
        <f aca="false">IF($S71="","",$S71+IF($X71="",0,$X71))</f>
        <v/>
      </c>
      <c r="Z71" s="33"/>
      <c r="AA71" s="33"/>
      <c r="AB71" s="34"/>
      <c r="AC71" s="34"/>
      <c r="AD71" s="40" t="str">
        <f aca="false">IF($AC71="","",$AC71+365)</f>
        <v/>
      </c>
      <c r="AE71" s="16" t="str">
        <f aca="false">IF($AD71="","",$AD71-$B$3)</f>
        <v/>
      </c>
      <c r="AF71" s="36"/>
      <c r="AG71" s="37" t="str">
        <f aca="false">IF(OR($Y71="",$AF71=""),"",$Y71-$AF71)</f>
        <v/>
      </c>
      <c r="AH71" s="33"/>
    </row>
    <row r="72" customFormat="false" ht="15" hidden="false" customHeight="true" outlineLevel="0" collapsed="false">
      <c r="A72" s="33"/>
      <c r="B72" s="33"/>
      <c r="C72" s="33"/>
      <c r="D72" s="33"/>
      <c r="E72" s="33"/>
      <c r="F72" s="33"/>
      <c r="G72" s="33"/>
      <c r="H72" s="33"/>
      <c r="I72" s="33"/>
      <c r="J72" s="34"/>
      <c r="K72" s="33"/>
      <c r="L72" s="33"/>
      <c r="M72" s="35"/>
      <c r="N72" s="35"/>
      <c r="O72" s="33"/>
      <c r="P72" s="33"/>
      <c r="Q72" s="33"/>
      <c r="R72" s="36"/>
      <c r="S72" s="37" t="str">
        <f aca="false">IF(OR($M72="",$R72=""),"",$M72*$R72)</f>
        <v/>
      </c>
      <c r="T72" s="36"/>
      <c r="U72" s="38"/>
      <c r="V72" s="39"/>
      <c r="W72" s="37" t="str">
        <f aca="false">IF(OR($T72="",$U72="",$V72=""),"",$T72*(1-$U72)*$V72)</f>
        <v/>
      </c>
      <c r="X72" s="37" t="str">
        <f aca="false">IF(OR($N72="",$W72=""),"",$N72*$W72)</f>
        <v/>
      </c>
      <c r="Y72" s="37" t="str">
        <f aca="false">IF($S72="","",$S72+IF($X72="",0,$X72))</f>
        <v/>
      </c>
      <c r="Z72" s="33"/>
      <c r="AA72" s="33"/>
      <c r="AB72" s="34"/>
      <c r="AC72" s="34"/>
      <c r="AD72" s="40" t="str">
        <f aca="false">IF($AC72="","",$AC72+365)</f>
        <v/>
      </c>
      <c r="AE72" s="16" t="str">
        <f aca="false">IF($AD72="","",$AD72-$B$3)</f>
        <v/>
      </c>
      <c r="AF72" s="36"/>
      <c r="AG72" s="37" t="str">
        <f aca="false">IF(OR($Y72="",$AF72=""),"",$Y72-$AF72)</f>
        <v/>
      </c>
      <c r="AH72" s="33"/>
    </row>
    <row r="73" customFormat="false" ht="15" hidden="false" customHeight="true" outlineLevel="0" collapsed="false">
      <c r="A73" s="33"/>
      <c r="B73" s="33"/>
      <c r="C73" s="33"/>
      <c r="D73" s="33"/>
      <c r="E73" s="33"/>
      <c r="F73" s="33"/>
      <c r="G73" s="33"/>
      <c r="H73" s="33"/>
      <c r="I73" s="33"/>
      <c r="J73" s="34"/>
      <c r="K73" s="33"/>
      <c r="L73" s="33"/>
      <c r="M73" s="35"/>
      <c r="N73" s="35"/>
      <c r="O73" s="33"/>
      <c r="P73" s="33"/>
      <c r="Q73" s="33"/>
      <c r="R73" s="36"/>
      <c r="S73" s="37" t="str">
        <f aca="false">IF(OR($M73="",$R73=""),"",$M73*$R73)</f>
        <v/>
      </c>
      <c r="T73" s="36"/>
      <c r="U73" s="38"/>
      <c r="V73" s="39"/>
      <c r="W73" s="37" t="str">
        <f aca="false">IF(OR($T73="",$U73="",$V73=""),"",$T73*(1-$U73)*$V73)</f>
        <v/>
      </c>
      <c r="X73" s="37" t="str">
        <f aca="false">IF(OR($N73="",$W73=""),"",$N73*$W73)</f>
        <v/>
      </c>
      <c r="Y73" s="37" t="str">
        <f aca="false">IF($S73="","",$S73+IF($X73="",0,$X73))</f>
        <v/>
      </c>
      <c r="Z73" s="33"/>
      <c r="AA73" s="33"/>
      <c r="AB73" s="34"/>
      <c r="AC73" s="34"/>
      <c r="AD73" s="40" t="str">
        <f aca="false">IF($AC73="","",$AC73+365)</f>
        <v/>
      </c>
      <c r="AE73" s="16" t="str">
        <f aca="false">IF($AD73="","",$AD73-$B$3)</f>
        <v/>
      </c>
      <c r="AF73" s="36"/>
      <c r="AG73" s="37" t="str">
        <f aca="false">IF(OR($Y73="",$AF73=""),"",$Y73-$AF73)</f>
        <v/>
      </c>
      <c r="AH73" s="33"/>
    </row>
    <row r="74" customFormat="false" ht="15" hidden="false" customHeight="true" outlineLevel="0" collapsed="false">
      <c r="A74" s="33"/>
      <c r="B74" s="33"/>
      <c r="C74" s="33"/>
      <c r="D74" s="33"/>
      <c r="E74" s="33"/>
      <c r="F74" s="33"/>
      <c r="G74" s="33"/>
      <c r="H74" s="33"/>
      <c r="I74" s="33"/>
      <c r="J74" s="34"/>
      <c r="K74" s="33"/>
      <c r="L74" s="33"/>
      <c r="M74" s="35"/>
      <c r="N74" s="35"/>
      <c r="O74" s="33"/>
      <c r="P74" s="33"/>
      <c r="Q74" s="33"/>
      <c r="R74" s="36"/>
      <c r="S74" s="37" t="str">
        <f aca="false">IF(OR($M74="",$R74=""),"",$M74*$R74)</f>
        <v/>
      </c>
      <c r="T74" s="36"/>
      <c r="U74" s="38"/>
      <c r="V74" s="39"/>
      <c r="W74" s="37" t="str">
        <f aca="false">IF(OR($T74="",$U74="",$V74=""),"",$T74*(1-$U74)*$V74)</f>
        <v/>
      </c>
      <c r="X74" s="37" t="str">
        <f aca="false">IF(OR($N74="",$W74=""),"",$N74*$W74)</f>
        <v/>
      </c>
      <c r="Y74" s="37" t="str">
        <f aca="false">IF($S74="","",$S74+IF($X74="",0,$X74))</f>
        <v/>
      </c>
      <c r="Z74" s="33"/>
      <c r="AA74" s="33"/>
      <c r="AB74" s="34"/>
      <c r="AC74" s="34"/>
      <c r="AD74" s="40" t="str">
        <f aca="false">IF($AC74="","",$AC74+365)</f>
        <v/>
      </c>
      <c r="AE74" s="16" t="str">
        <f aca="false">IF($AD74="","",$AD74-$B$3)</f>
        <v/>
      </c>
      <c r="AF74" s="36"/>
      <c r="AG74" s="37" t="str">
        <f aca="false">IF(OR($Y74="",$AF74=""),"",$Y74-$AF74)</f>
        <v/>
      </c>
      <c r="AH74" s="33"/>
    </row>
    <row r="75" customFormat="false" ht="15" hidden="false" customHeight="true" outlineLevel="0" collapsed="false">
      <c r="A75" s="33"/>
      <c r="B75" s="33"/>
      <c r="C75" s="33"/>
      <c r="D75" s="33"/>
      <c r="E75" s="33"/>
      <c r="F75" s="33"/>
      <c r="G75" s="33"/>
      <c r="H75" s="33"/>
      <c r="I75" s="33"/>
      <c r="J75" s="34"/>
      <c r="K75" s="33"/>
      <c r="L75" s="33"/>
      <c r="M75" s="35"/>
      <c r="N75" s="35"/>
      <c r="O75" s="33"/>
      <c r="P75" s="33"/>
      <c r="Q75" s="33"/>
      <c r="R75" s="36"/>
      <c r="S75" s="37" t="str">
        <f aca="false">IF(OR($M75="",$R75=""),"",$M75*$R75)</f>
        <v/>
      </c>
      <c r="T75" s="36"/>
      <c r="U75" s="38"/>
      <c r="V75" s="39"/>
      <c r="W75" s="37" t="str">
        <f aca="false">IF(OR($T75="",$U75="",$V75=""),"",$T75*(1-$U75)*$V75)</f>
        <v/>
      </c>
      <c r="X75" s="37" t="str">
        <f aca="false">IF(OR($N75="",$W75=""),"",$N75*$W75)</f>
        <v/>
      </c>
      <c r="Y75" s="37" t="str">
        <f aca="false">IF($S75="","",$S75+IF($X75="",0,$X75))</f>
        <v/>
      </c>
      <c r="Z75" s="33"/>
      <c r="AA75" s="33"/>
      <c r="AB75" s="34"/>
      <c r="AC75" s="34"/>
      <c r="AD75" s="40" t="str">
        <f aca="false">IF($AC75="","",$AC75+365)</f>
        <v/>
      </c>
      <c r="AE75" s="16" t="str">
        <f aca="false">IF($AD75="","",$AD75-$B$3)</f>
        <v/>
      </c>
      <c r="AF75" s="36"/>
      <c r="AG75" s="37" t="str">
        <f aca="false">IF(OR($Y75="",$AF75=""),"",$Y75-$AF75)</f>
        <v/>
      </c>
      <c r="AH75" s="33"/>
    </row>
    <row r="76" customFormat="false" ht="15" hidden="false" customHeight="true" outlineLevel="0" collapsed="false">
      <c r="A76" s="33"/>
      <c r="B76" s="33"/>
      <c r="C76" s="33"/>
      <c r="D76" s="33"/>
      <c r="E76" s="33"/>
      <c r="F76" s="33"/>
      <c r="G76" s="33"/>
      <c r="H76" s="33"/>
      <c r="I76" s="33"/>
      <c r="J76" s="34"/>
      <c r="K76" s="33"/>
      <c r="L76" s="33"/>
      <c r="M76" s="35"/>
      <c r="N76" s="35"/>
      <c r="O76" s="33"/>
      <c r="P76" s="33"/>
      <c r="Q76" s="33"/>
      <c r="R76" s="36"/>
      <c r="S76" s="37" t="str">
        <f aca="false">IF(OR($M76="",$R76=""),"",$M76*$R76)</f>
        <v/>
      </c>
      <c r="T76" s="36"/>
      <c r="U76" s="38"/>
      <c r="V76" s="39"/>
      <c r="W76" s="37" t="str">
        <f aca="false">IF(OR($T76="",$U76="",$V76=""),"",$T76*(1-$U76)*$V76)</f>
        <v/>
      </c>
      <c r="X76" s="37" t="str">
        <f aca="false">IF(OR($N76="",$W76=""),"",$N76*$W76)</f>
        <v/>
      </c>
      <c r="Y76" s="37" t="str">
        <f aca="false">IF($S76="","",$S76+IF($X76="",0,$X76))</f>
        <v/>
      </c>
      <c r="Z76" s="33"/>
      <c r="AA76" s="33"/>
      <c r="AB76" s="34"/>
      <c r="AC76" s="34"/>
      <c r="AD76" s="40" t="str">
        <f aca="false">IF($AC76="","",$AC76+365)</f>
        <v/>
      </c>
      <c r="AE76" s="16" t="str">
        <f aca="false">IF($AD76="","",$AD76-$B$3)</f>
        <v/>
      </c>
      <c r="AF76" s="36"/>
      <c r="AG76" s="37" t="str">
        <f aca="false">IF(OR($Y76="",$AF76=""),"",$Y76-$AF76)</f>
        <v/>
      </c>
      <c r="AH76" s="33"/>
    </row>
    <row r="77" customFormat="false" ht="15" hidden="false" customHeight="true" outlineLevel="0" collapsed="false">
      <c r="A77" s="33"/>
      <c r="B77" s="33"/>
      <c r="C77" s="33"/>
      <c r="D77" s="33"/>
      <c r="E77" s="33"/>
      <c r="F77" s="33"/>
      <c r="G77" s="33"/>
      <c r="H77" s="33"/>
      <c r="I77" s="33"/>
      <c r="J77" s="34"/>
      <c r="K77" s="33"/>
      <c r="L77" s="33"/>
      <c r="M77" s="35"/>
      <c r="N77" s="35"/>
      <c r="O77" s="33"/>
      <c r="P77" s="33"/>
      <c r="Q77" s="33"/>
      <c r="R77" s="36"/>
      <c r="S77" s="37" t="str">
        <f aca="false">IF(OR($M77="",$R77=""),"",$M77*$R77)</f>
        <v/>
      </c>
      <c r="T77" s="36"/>
      <c r="U77" s="38"/>
      <c r="V77" s="39"/>
      <c r="W77" s="37" t="str">
        <f aca="false">IF(OR($T77="",$U77="",$V77=""),"",$T77*(1-$U77)*$V77)</f>
        <v/>
      </c>
      <c r="X77" s="37" t="str">
        <f aca="false">IF(OR($N77="",$W77=""),"",$N77*$W77)</f>
        <v/>
      </c>
      <c r="Y77" s="37" t="str">
        <f aca="false">IF($S77="","",$S77+IF($X77="",0,$X77))</f>
        <v/>
      </c>
      <c r="Z77" s="33"/>
      <c r="AA77" s="33"/>
      <c r="AB77" s="34"/>
      <c r="AC77" s="34"/>
      <c r="AD77" s="40" t="str">
        <f aca="false">IF($AC77="","",$AC77+365)</f>
        <v/>
      </c>
      <c r="AE77" s="16" t="str">
        <f aca="false">IF($AD77="","",$AD77-$B$3)</f>
        <v/>
      </c>
      <c r="AF77" s="36"/>
      <c r="AG77" s="37" t="str">
        <f aca="false">IF(OR($Y77="",$AF77=""),"",$Y77-$AF77)</f>
        <v/>
      </c>
      <c r="AH77" s="33"/>
    </row>
    <row r="78" customFormat="false" ht="15" hidden="false" customHeight="true" outlineLevel="0" collapsed="false">
      <c r="A78" s="33"/>
      <c r="B78" s="33"/>
      <c r="C78" s="33"/>
      <c r="D78" s="33"/>
      <c r="E78" s="33"/>
      <c r="F78" s="33"/>
      <c r="G78" s="33"/>
      <c r="H78" s="33"/>
      <c r="I78" s="33"/>
      <c r="J78" s="34"/>
      <c r="K78" s="33"/>
      <c r="L78" s="33"/>
      <c r="M78" s="35"/>
      <c r="N78" s="35"/>
      <c r="O78" s="33"/>
      <c r="P78" s="33"/>
      <c r="Q78" s="33"/>
      <c r="R78" s="36"/>
      <c r="S78" s="37" t="str">
        <f aca="false">IF(OR($M78="",$R78=""),"",$M78*$R78)</f>
        <v/>
      </c>
      <c r="T78" s="36"/>
      <c r="U78" s="38"/>
      <c r="V78" s="39"/>
      <c r="W78" s="37" t="str">
        <f aca="false">IF(OR($T78="",$U78="",$V78=""),"",$T78*(1-$U78)*$V78)</f>
        <v/>
      </c>
      <c r="X78" s="37" t="str">
        <f aca="false">IF(OR($N78="",$W78=""),"",$N78*$W78)</f>
        <v/>
      </c>
      <c r="Y78" s="37" t="str">
        <f aca="false">IF($S78="","",$S78+IF($X78="",0,$X78))</f>
        <v/>
      </c>
      <c r="Z78" s="33"/>
      <c r="AA78" s="33"/>
      <c r="AB78" s="34"/>
      <c r="AC78" s="34"/>
      <c r="AD78" s="40" t="str">
        <f aca="false">IF($AC78="","",$AC78+365)</f>
        <v/>
      </c>
      <c r="AE78" s="16" t="str">
        <f aca="false">IF($AD78="","",$AD78-$B$3)</f>
        <v/>
      </c>
      <c r="AF78" s="36"/>
      <c r="AG78" s="37" t="str">
        <f aca="false">IF(OR($Y78="",$AF78=""),"",$Y78-$AF78)</f>
        <v/>
      </c>
      <c r="AH78" s="33"/>
    </row>
    <row r="79" customFormat="false" ht="15" hidden="false" customHeight="true" outlineLevel="0" collapsed="false">
      <c r="A79" s="33"/>
      <c r="B79" s="33"/>
      <c r="C79" s="33"/>
      <c r="D79" s="33"/>
      <c r="E79" s="33"/>
      <c r="F79" s="33"/>
      <c r="G79" s="33"/>
      <c r="H79" s="33"/>
      <c r="I79" s="33"/>
      <c r="J79" s="34"/>
      <c r="K79" s="33"/>
      <c r="L79" s="33"/>
      <c r="M79" s="35"/>
      <c r="N79" s="35"/>
      <c r="O79" s="33"/>
      <c r="P79" s="33"/>
      <c r="Q79" s="33"/>
      <c r="R79" s="36"/>
      <c r="S79" s="37" t="str">
        <f aca="false">IF(OR($M79="",$R79=""),"",$M79*$R79)</f>
        <v/>
      </c>
      <c r="T79" s="36"/>
      <c r="U79" s="38"/>
      <c r="V79" s="39"/>
      <c r="W79" s="37" t="str">
        <f aca="false">IF(OR($T79="",$U79="",$V79=""),"",$T79*(1-$U79)*$V79)</f>
        <v/>
      </c>
      <c r="X79" s="37" t="str">
        <f aca="false">IF(OR($N79="",$W79=""),"",$N79*$W79)</f>
        <v/>
      </c>
      <c r="Y79" s="37" t="str">
        <f aca="false">IF($S79="","",$S79+IF($X79="",0,$X79))</f>
        <v/>
      </c>
      <c r="Z79" s="33"/>
      <c r="AA79" s="33"/>
      <c r="AB79" s="34"/>
      <c r="AC79" s="34"/>
      <c r="AD79" s="40" t="str">
        <f aca="false">IF($AC79="","",$AC79+365)</f>
        <v/>
      </c>
      <c r="AE79" s="16" t="str">
        <f aca="false">IF($AD79="","",$AD79-$B$3)</f>
        <v/>
      </c>
      <c r="AF79" s="36"/>
      <c r="AG79" s="37" t="str">
        <f aca="false">IF(OR($Y79="",$AF79=""),"",$Y79-$AF79)</f>
        <v/>
      </c>
      <c r="AH79" s="33"/>
    </row>
    <row r="80" customFormat="false" ht="15" hidden="false" customHeight="true" outlineLevel="0" collapsed="false">
      <c r="A80" s="33"/>
      <c r="B80" s="33"/>
      <c r="C80" s="33"/>
      <c r="D80" s="33"/>
      <c r="E80" s="33"/>
      <c r="F80" s="33"/>
      <c r="G80" s="33"/>
      <c r="H80" s="33"/>
      <c r="I80" s="33"/>
      <c r="J80" s="34"/>
      <c r="K80" s="33"/>
      <c r="L80" s="33"/>
      <c r="M80" s="35"/>
      <c r="N80" s="35"/>
      <c r="O80" s="33"/>
      <c r="P80" s="33"/>
      <c r="Q80" s="33"/>
      <c r="R80" s="36"/>
      <c r="S80" s="37" t="str">
        <f aca="false">IF(OR($M80="",$R80=""),"",$M80*$R80)</f>
        <v/>
      </c>
      <c r="T80" s="36"/>
      <c r="U80" s="38"/>
      <c r="V80" s="39"/>
      <c r="W80" s="37" t="str">
        <f aca="false">IF(OR($T80="",$U80="",$V80=""),"",$T80*(1-$U80)*$V80)</f>
        <v/>
      </c>
      <c r="X80" s="37" t="str">
        <f aca="false">IF(OR($N80="",$W80=""),"",$N80*$W80)</f>
        <v/>
      </c>
      <c r="Y80" s="37" t="str">
        <f aca="false">IF($S80="","",$S80+IF($X80="",0,$X80))</f>
        <v/>
      </c>
      <c r="Z80" s="33"/>
      <c r="AA80" s="33"/>
      <c r="AB80" s="34"/>
      <c r="AC80" s="34"/>
      <c r="AD80" s="40" t="str">
        <f aca="false">IF($AC80="","",$AC80+365)</f>
        <v/>
      </c>
      <c r="AE80" s="16" t="str">
        <f aca="false">IF($AD80="","",$AD80-$B$3)</f>
        <v/>
      </c>
      <c r="AF80" s="36"/>
      <c r="AG80" s="37" t="str">
        <f aca="false">IF(OR($Y80="",$AF80=""),"",$Y80-$AF80)</f>
        <v/>
      </c>
      <c r="AH80" s="33"/>
    </row>
    <row r="81" customFormat="false" ht="15" hidden="false" customHeight="true" outlineLevel="0" collapsed="false">
      <c r="A81" s="33"/>
      <c r="B81" s="33"/>
      <c r="C81" s="33"/>
      <c r="D81" s="33"/>
      <c r="E81" s="33"/>
      <c r="F81" s="33"/>
      <c r="G81" s="33"/>
      <c r="H81" s="33"/>
      <c r="I81" s="33"/>
      <c r="J81" s="34"/>
      <c r="K81" s="33"/>
      <c r="L81" s="33"/>
      <c r="M81" s="35"/>
      <c r="N81" s="35"/>
      <c r="O81" s="33"/>
      <c r="P81" s="33"/>
      <c r="Q81" s="33"/>
      <c r="R81" s="36"/>
      <c r="S81" s="37" t="str">
        <f aca="false">IF(OR($M81="",$R81=""),"",$M81*$R81)</f>
        <v/>
      </c>
      <c r="T81" s="36"/>
      <c r="U81" s="38"/>
      <c r="V81" s="39"/>
      <c r="W81" s="37" t="str">
        <f aca="false">IF(OR($T81="",$U81="",$V81=""),"",$T81*(1-$U81)*$V81)</f>
        <v/>
      </c>
      <c r="X81" s="37" t="str">
        <f aca="false">IF(OR($N81="",$W81=""),"",$N81*$W81)</f>
        <v/>
      </c>
      <c r="Y81" s="37" t="str">
        <f aca="false">IF($S81="","",$S81+IF($X81="",0,$X81))</f>
        <v/>
      </c>
      <c r="Z81" s="33"/>
      <c r="AA81" s="33"/>
      <c r="AB81" s="34"/>
      <c r="AC81" s="34"/>
      <c r="AD81" s="40" t="str">
        <f aca="false">IF($AC81="","",$AC81+365)</f>
        <v/>
      </c>
      <c r="AE81" s="16" t="str">
        <f aca="false">IF($AD81="","",$AD81-$B$3)</f>
        <v/>
      </c>
      <c r="AF81" s="36"/>
      <c r="AG81" s="37" t="str">
        <f aca="false">IF(OR($Y81="",$AF81=""),"",$Y81-$AF81)</f>
        <v/>
      </c>
      <c r="AH81" s="33"/>
    </row>
    <row r="82" customFormat="false" ht="15" hidden="false" customHeight="true" outlineLevel="0" collapsed="false">
      <c r="A82" s="33"/>
      <c r="B82" s="33"/>
      <c r="C82" s="33"/>
      <c r="D82" s="33"/>
      <c r="E82" s="33"/>
      <c r="F82" s="33"/>
      <c r="G82" s="33"/>
      <c r="H82" s="33"/>
      <c r="I82" s="33"/>
      <c r="J82" s="34"/>
      <c r="K82" s="33"/>
      <c r="L82" s="33"/>
      <c r="M82" s="35"/>
      <c r="N82" s="35"/>
      <c r="O82" s="33"/>
      <c r="P82" s="33"/>
      <c r="Q82" s="33"/>
      <c r="R82" s="36"/>
      <c r="S82" s="37" t="str">
        <f aca="false">IF(OR($M82="",$R82=""),"",$M82*$R82)</f>
        <v/>
      </c>
      <c r="T82" s="36"/>
      <c r="U82" s="38"/>
      <c r="V82" s="39"/>
      <c r="W82" s="37" t="str">
        <f aca="false">IF(OR($T82="",$U82="",$V82=""),"",$T82*(1-$U82)*$V82)</f>
        <v/>
      </c>
      <c r="X82" s="37" t="str">
        <f aca="false">IF(OR($N82="",$W82=""),"",$N82*$W82)</f>
        <v/>
      </c>
      <c r="Y82" s="37" t="str">
        <f aca="false">IF($S82="","",$S82+IF($X82="",0,$X82))</f>
        <v/>
      </c>
      <c r="Z82" s="33"/>
      <c r="AA82" s="33"/>
      <c r="AB82" s="34"/>
      <c r="AC82" s="34"/>
      <c r="AD82" s="40" t="str">
        <f aca="false">IF($AC82="","",$AC82+365)</f>
        <v/>
      </c>
      <c r="AE82" s="16" t="str">
        <f aca="false">IF($AD82="","",$AD82-$B$3)</f>
        <v/>
      </c>
      <c r="AF82" s="36"/>
      <c r="AG82" s="37" t="str">
        <f aca="false">IF(OR($Y82="",$AF82=""),"",$Y82-$AF82)</f>
        <v/>
      </c>
      <c r="AH82" s="33"/>
    </row>
    <row r="83" customFormat="false" ht="15" hidden="false" customHeight="true" outlineLevel="0" collapsed="false">
      <c r="A83" s="33"/>
      <c r="B83" s="33"/>
      <c r="C83" s="33"/>
      <c r="D83" s="33"/>
      <c r="E83" s="33"/>
      <c r="F83" s="33"/>
      <c r="G83" s="33"/>
      <c r="H83" s="33"/>
      <c r="I83" s="33"/>
      <c r="J83" s="34"/>
      <c r="K83" s="33"/>
      <c r="L83" s="33"/>
      <c r="M83" s="35"/>
      <c r="N83" s="35"/>
      <c r="O83" s="33"/>
      <c r="P83" s="33"/>
      <c r="Q83" s="33"/>
      <c r="R83" s="36"/>
      <c r="S83" s="37" t="str">
        <f aca="false">IF(OR($M83="",$R83=""),"",$M83*$R83)</f>
        <v/>
      </c>
      <c r="T83" s="36"/>
      <c r="U83" s="38"/>
      <c r="V83" s="39"/>
      <c r="W83" s="37" t="str">
        <f aca="false">IF(OR($T83="",$U83="",$V83=""),"",$T83*(1-$U83)*$V83)</f>
        <v/>
      </c>
      <c r="X83" s="37" t="str">
        <f aca="false">IF(OR($N83="",$W83=""),"",$N83*$W83)</f>
        <v/>
      </c>
      <c r="Y83" s="37" t="str">
        <f aca="false">IF($S83="","",$S83+IF($X83="",0,$X83))</f>
        <v/>
      </c>
      <c r="Z83" s="33"/>
      <c r="AA83" s="33"/>
      <c r="AB83" s="34"/>
      <c r="AC83" s="34"/>
      <c r="AD83" s="40" t="str">
        <f aca="false">IF($AC83="","",$AC83+365)</f>
        <v/>
      </c>
      <c r="AE83" s="16" t="str">
        <f aca="false">IF($AD83="","",$AD83-$B$3)</f>
        <v/>
      </c>
      <c r="AF83" s="36"/>
      <c r="AG83" s="37" t="str">
        <f aca="false">IF(OR($Y83="",$AF83=""),"",$Y83-$AF83)</f>
        <v/>
      </c>
      <c r="AH83" s="33"/>
    </row>
    <row r="84" customFormat="false" ht="15" hidden="false" customHeight="true" outlineLevel="0" collapsed="false">
      <c r="A84" s="33"/>
      <c r="B84" s="33"/>
      <c r="C84" s="33"/>
      <c r="D84" s="33"/>
      <c r="E84" s="33"/>
      <c r="F84" s="33"/>
      <c r="G84" s="33"/>
      <c r="H84" s="33"/>
      <c r="I84" s="33"/>
      <c r="J84" s="34"/>
      <c r="K84" s="33"/>
      <c r="L84" s="33"/>
      <c r="M84" s="35"/>
      <c r="N84" s="35"/>
      <c r="O84" s="33"/>
      <c r="P84" s="33"/>
      <c r="Q84" s="33"/>
      <c r="R84" s="36"/>
      <c r="S84" s="37" t="str">
        <f aca="false">IF(OR($M84="",$R84=""),"",$M84*$R84)</f>
        <v/>
      </c>
      <c r="T84" s="36"/>
      <c r="U84" s="38"/>
      <c r="V84" s="39"/>
      <c r="W84" s="37" t="str">
        <f aca="false">IF(OR($T84="",$U84="",$V84=""),"",$T84*(1-$U84)*$V84)</f>
        <v/>
      </c>
      <c r="X84" s="37" t="str">
        <f aca="false">IF(OR($N84="",$W84=""),"",$N84*$W84)</f>
        <v/>
      </c>
      <c r="Y84" s="37" t="str">
        <f aca="false">IF($S84="","",$S84+IF($X84="",0,$X84))</f>
        <v/>
      </c>
      <c r="Z84" s="33"/>
      <c r="AA84" s="33"/>
      <c r="AB84" s="34"/>
      <c r="AC84" s="34"/>
      <c r="AD84" s="40" t="str">
        <f aca="false">IF($AC84="","",$AC84+365)</f>
        <v/>
      </c>
      <c r="AE84" s="16" t="str">
        <f aca="false">IF($AD84="","",$AD84-$B$3)</f>
        <v/>
      </c>
      <c r="AF84" s="36"/>
      <c r="AG84" s="37" t="str">
        <f aca="false">IF(OR($Y84="",$AF84=""),"",$Y84-$AF84)</f>
        <v/>
      </c>
      <c r="AH84" s="33"/>
    </row>
    <row r="85" customFormat="false" ht="15" hidden="false" customHeight="true" outlineLevel="0" collapsed="false">
      <c r="A85" s="33"/>
      <c r="B85" s="33"/>
      <c r="C85" s="33"/>
      <c r="D85" s="33"/>
      <c r="E85" s="33"/>
      <c r="F85" s="33"/>
      <c r="G85" s="33"/>
      <c r="H85" s="33"/>
      <c r="I85" s="33"/>
      <c r="J85" s="34"/>
      <c r="K85" s="33"/>
      <c r="L85" s="33"/>
      <c r="M85" s="35"/>
      <c r="N85" s="35"/>
      <c r="O85" s="33"/>
      <c r="P85" s="33"/>
      <c r="Q85" s="33"/>
      <c r="R85" s="36"/>
      <c r="S85" s="37" t="str">
        <f aca="false">IF(OR($M85="",$R85=""),"",$M85*$R85)</f>
        <v/>
      </c>
      <c r="T85" s="36"/>
      <c r="U85" s="38"/>
      <c r="V85" s="39"/>
      <c r="W85" s="37" t="str">
        <f aca="false">IF(OR($T85="",$U85="",$V85=""),"",$T85*(1-$U85)*$V85)</f>
        <v/>
      </c>
      <c r="X85" s="37" t="str">
        <f aca="false">IF(OR($N85="",$W85=""),"",$N85*$W85)</f>
        <v/>
      </c>
      <c r="Y85" s="37" t="str">
        <f aca="false">IF($S85="","",$S85+IF($X85="",0,$X85))</f>
        <v/>
      </c>
      <c r="Z85" s="33"/>
      <c r="AA85" s="33"/>
      <c r="AB85" s="34"/>
      <c r="AC85" s="34"/>
      <c r="AD85" s="40" t="str">
        <f aca="false">IF($AC85="","",$AC85+365)</f>
        <v/>
      </c>
      <c r="AE85" s="16" t="str">
        <f aca="false">IF($AD85="","",$AD85-$B$3)</f>
        <v/>
      </c>
      <c r="AF85" s="36"/>
      <c r="AG85" s="37" t="str">
        <f aca="false">IF(OR($Y85="",$AF85=""),"",$Y85-$AF85)</f>
        <v/>
      </c>
      <c r="AH85" s="33"/>
    </row>
    <row r="86" customFormat="false" ht="15" hidden="false" customHeight="true" outlineLevel="0" collapsed="false">
      <c r="A86" s="33"/>
      <c r="B86" s="33"/>
      <c r="C86" s="33"/>
      <c r="D86" s="33"/>
      <c r="E86" s="33"/>
      <c r="F86" s="33"/>
      <c r="G86" s="33"/>
      <c r="H86" s="33"/>
      <c r="I86" s="33"/>
      <c r="J86" s="34"/>
      <c r="K86" s="33"/>
      <c r="L86" s="33"/>
      <c r="M86" s="35"/>
      <c r="N86" s="35"/>
      <c r="O86" s="33"/>
      <c r="P86" s="33"/>
      <c r="Q86" s="33"/>
      <c r="R86" s="36"/>
      <c r="S86" s="37" t="str">
        <f aca="false">IF(OR($M86="",$R86=""),"",$M86*$R86)</f>
        <v/>
      </c>
      <c r="T86" s="36"/>
      <c r="U86" s="38"/>
      <c r="V86" s="39"/>
      <c r="W86" s="37" t="str">
        <f aca="false">IF(OR($T86="",$U86="",$V86=""),"",$T86*(1-$U86)*$V86)</f>
        <v/>
      </c>
      <c r="X86" s="37" t="str">
        <f aca="false">IF(OR($N86="",$W86=""),"",$N86*$W86)</f>
        <v/>
      </c>
      <c r="Y86" s="37" t="str">
        <f aca="false">IF($S86="","",$S86+IF($X86="",0,$X86))</f>
        <v/>
      </c>
      <c r="Z86" s="33"/>
      <c r="AA86" s="33"/>
      <c r="AB86" s="34"/>
      <c r="AC86" s="34"/>
      <c r="AD86" s="40" t="str">
        <f aca="false">IF($AC86="","",$AC86+365)</f>
        <v/>
      </c>
      <c r="AE86" s="16" t="str">
        <f aca="false">IF($AD86="","",$AD86-$B$3)</f>
        <v/>
      </c>
      <c r="AF86" s="36"/>
      <c r="AG86" s="37" t="str">
        <f aca="false">IF(OR($Y86="",$AF86=""),"",$Y86-$AF86)</f>
        <v/>
      </c>
      <c r="AH86" s="33"/>
    </row>
    <row r="87" customFormat="false" ht="15" hidden="false" customHeight="true" outlineLevel="0" collapsed="false">
      <c r="A87" s="33"/>
      <c r="B87" s="33"/>
      <c r="C87" s="33"/>
      <c r="D87" s="33"/>
      <c r="E87" s="33"/>
      <c r="F87" s="33"/>
      <c r="G87" s="33"/>
      <c r="H87" s="33"/>
      <c r="I87" s="33"/>
      <c r="J87" s="34"/>
      <c r="K87" s="33"/>
      <c r="L87" s="33"/>
      <c r="M87" s="35"/>
      <c r="N87" s="35"/>
      <c r="O87" s="33"/>
      <c r="P87" s="33"/>
      <c r="Q87" s="33"/>
      <c r="R87" s="36"/>
      <c r="S87" s="37" t="str">
        <f aca="false">IF(OR($M87="",$R87=""),"",$M87*$R87)</f>
        <v/>
      </c>
      <c r="T87" s="36"/>
      <c r="U87" s="38"/>
      <c r="V87" s="39"/>
      <c r="W87" s="37" t="str">
        <f aca="false">IF(OR($T87="",$U87="",$V87=""),"",$T87*(1-$U87)*$V87)</f>
        <v/>
      </c>
      <c r="X87" s="37" t="str">
        <f aca="false">IF(OR($N87="",$W87=""),"",$N87*$W87)</f>
        <v/>
      </c>
      <c r="Y87" s="37" t="str">
        <f aca="false">IF($S87="","",$S87+IF($X87="",0,$X87))</f>
        <v/>
      </c>
      <c r="Z87" s="33"/>
      <c r="AA87" s="33"/>
      <c r="AB87" s="34"/>
      <c r="AC87" s="34"/>
      <c r="AD87" s="40" t="str">
        <f aca="false">IF($AC87="","",$AC87+365)</f>
        <v/>
      </c>
      <c r="AE87" s="16" t="str">
        <f aca="false">IF($AD87="","",$AD87-$B$3)</f>
        <v/>
      </c>
      <c r="AF87" s="36"/>
      <c r="AG87" s="37" t="str">
        <f aca="false">IF(OR($Y87="",$AF87=""),"",$Y87-$AF87)</f>
        <v/>
      </c>
      <c r="AH87" s="33"/>
    </row>
    <row r="88" customFormat="false" ht="15" hidden="false" customHeight="true" outlineLevel="0" collapsed="false">
      <c r="A88" s="33"/>
      <c r="B88" s="33"/>
      <c r="C88" s="33"/>
      <c r="D88" s="33"/>
      <c r="E88" s="33"/>
      <c r="F88" s="33"/>
      <c r="G88" s="33"/>
      <c r="H88" s="33"/>
      <c r="I88" s="33"/>
      <c r="J88" s="34"/>
      <c r="K88" s="33"/>
      <c r="L88" s="33"/>
      <c r="M88" s="35"/>
      <c r="N88" s="35"/>
      <c r="O88" s="33"/>
      <c r="P88" s="33"/>
      <c r="Q88" s="33"/>
      <c r="R88" s="36"/>
      <c r="S88" s="37" t="str">
        <f aca="false">IF(OR($M88="",$R88=""),"",$M88*$R88)</f>
        <v/>
      </c>
      <c r="T88" s="36"/>
      <c r="U88" s="38"/>
      <c r="V88" s="39"/>
      <c r="W88" s="37" t="str">
        <f aca="false">IF(OR($T88="",$U88="",$V88=""),"",$T88*(1-$U88)*$V88)</f>
        <v/>
      </c>
      <c r="X88" s="37" t="str">
        <f aca="false">IF(OR($N88="",$W88=""),"",$N88*$W88)</f>
        <v/>
      </c>
      <c r="Y88" s="37" t="str">
        <f aca="false">IF($S88="","",$S88+IF($X88="",0,$X88))</f>
        <v/>
      </c>
      <c r="Z88" s="33"/>
      <c r="AA88" s="33"/>
      <c r="AB88" s="34"/>
      <c r="AC88" s="34"/>
      <c r="AD88" s="40" t="str">
        <f aca="false">IF($AC88="","",$AC88+365)</f>
        <v/>
      </c>
      <c r="AE88" s="16" t="str">
        <f aca="false">IF($AD88="","",$AD88-$B$3)</f>
        <v/>
      </c>
      <c r="AF88" s="36"/>
      <c r="AG88" s="37" t="str">
        <f aca="false">IF(OR($Y88="",$AF88=""),"",$Y88-$AF88)</f>
        <v/>
      </c>
      <c r="AH88" s="33"/>
    </row>
    <row r="89" customFormat="false" ht="15" hidden="false" customHeight="true" outlineLevel="0" collapsed="false">
      <c r="A89" s="33"/>
      <c r="B89" s="33"/>
      <c r="C89" s="33"/>
      <c r="D89" s="33"/>
      <c r="E89" s="33"/>
      <c r="F89" s="33"/>
      <c r="G89" s="33"/>
      <c r="H89" s="33"/>
      <c r="I89" s="33"/>
      <c r="J89" s="34"/>
      <c r="K89" s="33"/>
      <c r="L89" s="33"/>
      <c r="M89" s="35"/>
      <c r="N89" s="35"/>
      <c r="O89" s="33"/>
      <c r="P89" s="33"/>
      <c r="Q89" s="33"/>
      <c r="R89" s="36"/>
      <c r="S89" s="37" t="str">
        <f aca="false">IF(OR($M89="",$R89=""),"",$M89*$R89)</f>
        <v/>
      </c>
      <c r="T89" s="36"/>
      <c r="U89" s="38"/>
      <c r="V89" s="39"/>
      <c r="W89" s="37" t="str">
        <f aca="false">IF(OR($T89="",$U89="",$V89=""),"",$T89*(1-$U89)*$V89)</f>
        <v/>
      </c>
      <c r="X89" s="37" t="str">
        <f aca="false">IF(OR($N89="",$W89=""),"",$N89*$W89)</f>
        <v/>
      </c>
      <c r="Y89" s="37" t="str">
        <f aca="false">IF($S89="","",$S89+IF($X89="",0,$X89))</f>
        <v/>
      </c>
      <c r="Z89" s="33"/>
      <c r="AA89" s="33"/>
      <c r="AB89" s="34"/>
      <c r="AC89" s="34"/>
      <c r="AD89" s="40" t="str">
        <f aca="false">IF($AC89="","",$AC89+365)</f>
        <v/>
      </c>
      <c r="AE89" s="16" t="str">
        <f aca="false">IF($AD89="","",$AD89-$B$3)</f>
        <v/>
      </c>
      <c r="AF89" s="36"/>
      <c r="AG89" s="37" t="str">
        <f aca="false">IF(OR($Y89="",$AF89=""),"",$Y89-$AF89)</f>
        <v/>
      </c>
      <c r="AH89" s="33"/>
    </row>
    <row r="90" customFormat="false" ht="15" hidden="false" customHeight="true" outlineLevel="0" collapsed="false">
      <c r="A90" s="33"/>
      <c r="B90" s="33"/>
      <c r="C90" s="33"/>
      <c r="D90" s="33"/>
      <c r="E90" s="33"/>
      <c r="F90" s="33"/>
      <c r="G90" s="33"/>
      <c r="H90" s="33"/>
      <c r="I90" s="33"/>
      <c r="J90" s="34"/>
      <c r="K90" s="33"/>
      <c r="L90" s="33"/>
      <c r="M90" s="35"/>
      <c r="N90" s="35"/>
      <c r="O90" s="33"/>
      <c r="P90" s="33"/>
      <c r="Q90" s="33"/>
      <c r="R90" s="36"/>
      <c r="S90" s="37" t="str">
        <f aca="false">IF(OR($M90="",$R90=""),"",$M90*$R90)</f>
        <v/>
      </c>
      <c r="T90" s="36"/>
      <c r="U90" s="38"/>
      <c r="V90" s="39"/>
      <c r="W90" s="37" t="str">
        <f aca="false">IF(OR($T90="",$U90="",$V90=""),"",$T90*(1-$U90)*$V90)</f>
        <v/>
      </c>
      <c r="X90" s="37" t="str">
        <f aca="false">IF(OR($N90="",$W90=""),"",$N90*$W90)</f>
        <v/>
      </c>
      <c r="Y90" s="37" t="str">
        <f aca="false">IF($S90="","",$S90+IF($X90="",0,$X90))</f>
        <v/>
      </c>
      <c r="Z90" s="33"/>
      <c r="AA90" s="33"/>
      <c r="AB90" s="34"/>
      <c r="AC90" s="34"/>
      <c r="AD90" s="40" t="str">
        <f aca="false">IF($AC90="","",$AC90+365)</f>
        <v/>
      </c>
      <c r="AE90" s="16" t="str">
        <f aca="false">IF($AD90="","",$AD90-$B$3)</f>
        <v/>
      </c>
      <c r="AF90" s="36"/>
      <c r="AG90" s="37" t="str">
        <f aca="false">IF(OR($Y90="",$AF90=""),"",$Y90-$AF90)</f>
        <v/>
      </c>
      <c r="AH90" s="33"/>
    </row>
    <row r="91" customFormat="false" ht="15" hidden="false" customHeight="true" outlineLevel="0" collapsed="false">
      <c r="A91" s="33"/>
      <c r="B91" s="33"/>
      <c r="C91" s="33"/>
      <c r="D91" s="33"/>
      <c r="E91" s="33"/>
      <c r="F91" s="33"/>
      <c r="G91" s="33"/>
      <c r="H91" s="33"/>
      <c r="I91" s="33"/>
      <c r="J91" s="34"/>
      <c r="K91" s="33"/>
      <c r="L91" s="33"/>
      <c r="M91" s="35"/>
      <c r="N91" s="35"/>
      <c r="O91" s="33"/>
      <c r="P91" s="33"/>
      <c r="Q91" s="33"/>
      <c r="R91" s="36"/>
      <c r="S91" s="37" t="str">
        <f aca="false">IF(OR($M91="",$R91=""),"",$M91*$R91)</f>
        <v/>
      </c>
      <c r="T91" s="36"/>
      <c r="U91" s="38"/>
      <c r="V91" s="39"/>
      <c r="W91" s="37" t="str">
        <f aca="false">IF(OR($T91="",$U91="",$V91=""),"",$T91*(1-$U91)*$V91)</f>
        <v/>
      </c>
      <c r="X91" s="37" t="str">
        <f aca="false">IF(OR($N91="",$W91=""),"",$N91*$W91)</f>
        <v/>
      </c>
      <c r="Y91" s="37" t="str">
        <f aca="false">IF($S91="","",$S91+IF($X91="",0,$X91))</f>
        <v/>
      </c>
      <c r="Z91" s="33"/>
      <c r="AA91" s="33"/>
      <c r="AB91" s="34"/>
      <c r="AC91" s="34"/>
      <c r="AD91" s="40" t="str">
        <f aca="false">IF($AC91="","",$AC91+365)</f>
        <v/>
      </c>
      <c r="AE91" s="16" t="str">
        <f aca="false">IF($AD91="","",$AD91-$B$3)</f>
        <v/>
      </c>
      <c r="AF91" s="36"/>
      <c r="AG91" s="37" t="str">
        <f aca="false">IF(OR($Y91="",$AF91=""),"",$Y91-$AF91)</f>
        <v/>
      </c>
      <c r="AH91" s="33"/>
    </row>
    <row r="92" customFormat="false" ht="15" hidden="false" customHeight="true" outlineLevel="0" collapsed="false">
      <c r="A92" s="33"/>
      <c r="B92" s="33"/>
      <c r="C92" s="33"/>
      <c r="D92" s="33"/>
      <c r="E92" s="33"/>
      <c r="F92" s="33"/>
      <c r="G92" s="33"/>
      <c r="H92" s="33"/>
      <c r="I92" s="33"/>
      <c r="J92" s="34"/>
      <c r="K92" s="33"/>
      <c r="L92" s="33"/>
      <c r="M92" s="35"/>
      <c r="N92" s="35"/>
      <c r="O92" s="33"/>
      <c r="P92" s="33"/>
      <c r="Q92" s="33"/>
      <c r="R92" s="36"/>
      <c r="S92" s="37" t="str">
        <f aca="false">IF(OR($M92="",$R92=""),"",$M92*$R92)</f>
        <v/>
      </c>
      <c r="T92" s="36"/>
      <c r="U92" s="38"/>
      <c r="V92" s="39"/>
      <c r="W92" s="37" t="str">
        <f aca="false">IF(OR($T92="",$U92="",$V92=""),"",$T92*(1-$U92)*$V92)</f>
        <v/>
      </c>
      <c r="X92" s="37" t="str">
        <f aca="false">IF(OR($N92="",$W92=""),"",$N92*$W92)</f>
        <v/>
      </c>
      <c r="Y92" s="37" t="str">
        <f aca="false">IF($S92="","",$S92+IF($X92="",0,$X92))</f>
        <v/>
      </c>
      <c r="Z92" s="33"/>
      <c r="AA92" s="33"/>
      <c r="AB92" s="34"/>
      <c r="AC92" s="34"/>
      <c r="AD92" s="40" t="str">
        <f aca="false">IF($AC92="","",$AC92+365)</f>
        <v/>
      </c>
      <c r="AE92" s="16" t="str">
        <f aca="false">IF($AD92="","",$AD92-$B$3)</f>
        <v/>
      </c>
      <c r="AF92" s="36"/>
      <c r="AG92" s="37" t="str">
        <f aca="false">IF(OR($Y92="",$AF92=""),"",$Y92-$AF92)</f>
        <v/>
      </c>
      <c r="AH92" s="33"/>
    </row>
    <row r="93" customFormat="false" ht="15" hidden="false" customHeight="true" outlineLevel="0" collapsed="false">
      <c r="A93" s="33"/>
      <c r="B93" s="33"/>
      <c r="C93" s="33"/>
      <c r="D93" s="33"/>
      <c r="E93" s="33"/>
      <c r="F93" s="33"/>
      <c r="G93" s="33"/>
      <c r="H93" s="33"/>
      <c r="I93" s="33"/>
      <c r="J93" s="34"/>
      <c r="K93" s="33"/>
      <c r="L93" s="33"/>
      <c r="M93" s="35"/>
      <c r="N93" s="35"/>
      <c r="O93" s="33"/>
      <c r="P93" s="33"/>
      <c r="Q93" s="33"/>
      <c r="R93" s="36"/>
      <c r="S93" s="37" t="str">
        <f aca="false">IF(OR($M93="",$R93=""),"",$M93*$R93)</f>
        <v/>
      </c>
      <c r="T93" s="36"/>
      <c r="U93" s="38"/>
      <c r="V93" s="39"/>
      <c r="W93" s="37" t="str">
        <f aca="false">IF(OR($T93="",$U93="",$V93=""),"",$T93*(1-$U93)*$V93)</f>
        <v/>
      </c>
      <c r="X93" s="37" t="str">
        <f aca="false">IF(OR($N93="",$W93=""),"",$N93*$W93)</f>
        <v/>
      </c>
      <c r="Y93" s="37" t="str">
        <f aca="false">IF($S93="","",$S93+IF($X93="",0,$X93))</f>
        <v/>
      </c>
      <c r="Z93" s="33"/>
      <c r="AA93" s="33"/>
      <c r="AB93" s="34"/>
      <c r="AC93" s="34"/>
      <c r="AD93" s="40" t="str">
        <f aca="false">IF($AC93="","",$AC93+365)</f>
        <v/>
      </c>
      <c r="AE93" s="16" t="str">
        <f aca="false">IF($AD93="","",$AD93-$B$3)</f>
        <v/>
      </c>
      <c r="AF93" s="36"/>
      <c r="AG93" s="37" t="str">
        <f aca="false">IF(OR($Y93="",$AF93=""),"",$Y93-$AF93)</f>
        <v/>
      </c>
      <c r="AH93" s="33"/>
    </row>
    <row r="94" customFormat="false" ht="15" hidden="false" customHeight="true" outlineLevel="0" collapsed="false">
      <c r="A94" s="33"/>
      <c r="B94" s="33"/>
      <c r="C94" s="33"/>
      <c r="D94" s="33"/>
      <c r="E94" s="33"/>
      <c r="F94" s="33"/>
      <c r="G94" s="33"/>
      <c r="H94" s="33"/>
      <c r="I94" s="33"/>
      <c r="J94" s="34"/>
      <c r="K94" s="33"/>
      <c r="L94" s="33"/>
      <c r="M94" s="35"/>
      <c r="N94" s="35"/>
      <c r="O94" s="33"/>
      <c r="P94" s="33"/>
      <c r="Q94" s="33"/>
      <c r="R94" s="36"/>
      <c r="S94" s="37" t="str">
        <f aca="false">IF(OR($M94="",$R94=""),"",$M94*$R94)</f>
        <v/>
      </c>
      <c r="T94" s="36"/>
      <c r="U94" s="38"/>
      <c r="V94" s="39"/>
      <c r="W94" s="37" t="str">
        <f aca="false">IF(OR($T94="",$U94="",$V94=""),"",$T94*(1-$U94)*$V94)</f>
        <v/>
      </c>
      <c r="X94" s="37" t="str">
        <f aca="false">IF(OR($N94="",$W94=""),"",$N94*$W94)</f>
        <v/>
      </c>
      <c r="Y94" s="37" t="str">
        <f aca="false">IF($S94="","",$S94+IF($X94="",0,$X94))</f>
        <v/>
      </c>
      <c r="Z94" s="33"/>
      <c r="AA94" s="33"/>
      <c r="AB94" s="34"/>
      <c r="AC94" s="34"/>
      <c r="AD94" s="40" t="str">
        <f aca="false">IF($AC94="","",$AC94+365)</f>
        <v/>
      </c>
      <c r="AE94" s="16" t="str">
        <f aca="false">IF($AD94="","",$AD94-$B$3)</f>
        <v/>
      </c>
      <c r="AF94" s="36"/>
      <c r="AG94" s="37" t="str">
        <f aca="false">IF(OR($Y94="",$AF94=""),"",$Y94-$AF94)</f>
        <v/>
      </c>
      <c r="AH94" s="33"/>
    </row>
    <row r="95" customFormat="false" ht="15" hidden="false" customHeight="true" outlineLevel="0" collapsed="false">
      <c r="A95" s="33"/>
      <c r="B95" s="33"/>
      <c r="C95" s="33"/>
      <c r="D95" s="33"/>
      <c r="E95" s="33"/>
      <c r="F95" s="33"/>
      <c r="G95" s="33"/>
      <c r="H95" s="33"/>
      <c r="I95" s="33"/>
      <c r="J95" s="34"/>
      <c r="K95" s="33"/>
      <c r="L95" s="33"/>
      <c r="M95" s="35"/>
      <c r="N95" s="35"/>
      <c r="O95" s="33"/>
      <c r="P95" s="33"/>
      <c r="Q95" s="33"/>
      <c r="R95" s="36"/>
      <c r="S95" s="37" t="str">
        <f aca="false">IF(OR($M95="",$R95=""),"",$M95*$R95)</f>
        <v/>
      </c>
      <c r="T95" s="36"/>
      <c r="U95" s="38"/>
      <c r="V95" s="39"/>
      <c r="W95" s="37" t="str">
        <f aca="false">IF(OR($T95="",$U95="",$V95=""),"",$T95*(1-$U95)*$V95)</f>
        <v/>
      </c>
      <c r="X95" s="37" t="str">
        <f aca="false">IF(OR($N95="",$W95=""),"",$N95*$W95)</f>
        <v/>
      </c>
      <c r="Y95" s="37" t="str">
        <f aca="false">IF($S95="","",$S95+IF($X95="",0,$X95))</f>
        <v/>
      </c>
      <c r="Z95" s="33"/>
      <c r="AA95" s="33"/>
      <c r="AB95" s="34"/>
      <c r="AC95" s="34"/>
      <c r="AD95" s="40" t="str">
        <f aca="false">IF($AC95="","",$AC95+365)</f>
        <v/>
      </c>
      <c r="AE95" s="16" t="str">
        <f aca="false">IF($AD95="","",$AD95-$B$3)</f>
        <v/>
      </c>
      <c r="AF95" s="36"/>
      <c r="AG95" s="37" t="str">
        <f aca="false">IF(OR($Y95="",$AF95=""),"",$Y95-$AF95)</f>
        <v/>
      </c>
      <c r="AH95" s="33"/>
    </row>
    <row r="96" customFormat="false" ht="15" hidden="false" customHeight="true" outlineLevel="0" collapsed="false">
      <c r="A96" s="33"/>
      <c r="B96" s="33"/>
      <c r="C96" s="33"/>
      <c r="D96" s="33"/>
      <c r="E96" s="33"/>
      <c r="F96" s="33"/>
      <c r="G96" s="33"/>
      <c r="H96" s="33"/>
      <c r="I96" s="33"/>
      <c r="J96" s="34"/>
      <c r="K96" s="33"/>
      <c r="L96" s="33"/>
      <c r="M96" s="35"/>
      <c r="N96" s="35"/>
      <c r="O96" s="33"/>
      <c r="P96" s="33"/>
      <c r="Q96" s="33"/>
      <c r="R96" s="36"/>
      <c r="S96" s="37" t="str">
        <f aca="false">IF(OR($M96="",$R96=""),"",$M96*$R96)</f>
        <v/>
      </c>
      <c r="T96" s="36"/>
      <c r="U96" s="38"/>
      <c r="V96" s="39"/>
      <c r="W96" s="37" t="str">
        <f aca="false">IF(OR($T96="",$U96="",$V96=""),"",$T96*(1-$U96)*$V96)</f>
        <v/>
      </c>
      <c r="X96" s="37" t="str">
        <f aca="false">IF(OR($N96="",$W96=""),"",$N96*$W96)</f>
        <v/>
      </c>
      <c r="Y96" s="37" t="str">
        <f aca="false">IF($S96="","",$S96+IF($X96="",0,$X96))</f>
        <v/>
      </c>
      <c r="Z96" s="33"/>
      <c r="AA96" s="33"/>
      <c r="AB96" s="34"/>
      <c r="AC96" s="34"/>
      <c r="AD96" s="40" t="str">
        <f aca="false">IF($AC96="","",$AC96+365)</f>
        <v/>
      </c>
      <c r="AE96" s="16" t="str">
        <f aca="false">IF($AD96="","",$AD96-$B$3)</f>
        <v/>
      </c>
      <c r="AF96" s="36"/>
      <c r="AG96" s="37" t="str">
        <f aca="false">IF(OR($Y96="",$AF96=""),"",$Y96-$AF96)</f>
        <v/>
      </c>
      <c r="AH96" s="33"/>
    </row>
    <row r="97" customFormat="false" ht="15" hidden="false" customHeight="true" outlineLevel="0" collapsed="false">
      <c r="A97" s="33"/>
      <c r="B97" s="33"/>
      <c r="C97" s="33"/>
      <c r="D97" s="33"/>
      <c r="E97" s="33"/>
      <c r="F97" s="33"/>
      <c r="G97" s="33"/>
      <c r="H97" s="33"/>
      <c r="I97" s="33"/>
      <c r="J97" s="34"/>
      <c r="K97" s="33"/>
      <c r="L97" s="33"/>
      <c r="M97" s="35"/>
      <c r="N97" s="35"/>
      <c r="O97" s="33"/>
      <c r="P97" s="33"/>
      <c r="Q97" s="33"/>
      <c r="R97" s="36"/>
      <c r="S97" s="37" t="str">
        <f aca="false">IF(OR($M97="",$R97=""),"",$M97*$R97)</f>
        <v/>
      </c>
      <c r="T97" s="36"/>
      <c r="U97" s="38"/>
      <c r="V97" s="39"/>
      <c r="W97" s="37" t="str">
        <f aca="false">IF(OR($T97="",$U97="",$V97=""),"",$T97*(1-$U97)*$V97)</f>
        <v/>
      </c>
      <c r="X97" s="37" t="str">
        <f aca="false">IF(OR($N97="",$W97=""),"",$N97*$W97)</f>
        <v/>
      </c>
      <c r="Y97" s="37" t="str">
        <f aca="false">IF($S97="","",$S97+IF($X97="",0,$X97))</f>
        <v/>
      </c>
      <c r="Z97" s="33"/>
      <c r="AA97" s="33"/>
      <c r="AB97" s="34"/>
      <c r="AC97" s="34"/>
      <c r="AD97" s="40" t="str">
        <f aca="false">IF($AC97="","",$AC97+365)</f>
        <v/>
      </c>
      <c r="AE97" s="16" t="str">
        <f aca="false">IF($AD97="","",$AD97-$B$3)</f>
        <v/>
      </c>
      <c r="AF97" s="36"/>
      <c r="AG97" s="37" t="str">
        <f aca="false">IF(OR($Y97="",$AF97=""),"",$Y97-$AF97)</f>
        <v/>
      </c>
      <c r="AH97" s="33"/>
    </row>
    <row r="98" customFormat="false" ht="15" hidden="false" customHeight="true" outlineLevel="0" collapsed="false">
      <c r="A98" s="33"/>
      <c r="B98" s="33"/>
      <c r="C98" s="33"/>
      <c r="D98" s="33"/>
      <c r="E98" s="33"/>
      <c r="F98" s="33"/>
      <c r="G98" s="33"/>
      <c r="H98" s="33"/>
      <c r="I98" s="33"/>
      <c r="J98" s="34"/>
      <c r="K98" s="33"/>
      <c r="L98" s="33"/>
      <c r="M98" s="35"/>
      <c r="N98" s="35"/>
      <c r="O98" s="33"/>
      <c r="P98" s="33"/>
      <c r="Q98" s="33"/>
      <c r="R98" s="36"/>
      <c r="S98" s="37" t="str">
        <f aca="false">IF(OR($M98="",$R98=""),"",$M98*$R98)</f>
        <v/>
      </c>
      <c r="T98" s="36"/>
      <c r="U98" s="38"/>
      <c r="V98" s="39"/>
      <c r="W98" s="37" t="str">
        <f aca="false">IF(OR($T98="",$U98="",$V98=""),"",$T98*(1-$U98)*$V98)</f>
        <v/>
      </c>
      <c r="X98" s="37" t="str">
        <f aca="false">IF(OR($N98="",$W98=""),"",$N98*$W98)</f>
        <v/>
      </c>
      <c r="Y98" s="37" t="str">
        <f aca="false">IF($S98="","",$S98+IF($X98="",0,$X98))</f>
        <v/>
      </c>
      <c r="Z98" s="33"/>
      <c r="AA98" s="33"/>
      <c r="AB98" s="34"/>
      <c r="AC98" s="34"/>
      <c r="AD98" s="40" t="str">
        <f aca="false">IF($AC98="","",$AC98+365)</f>
        <v/>
      </c>
      <c r="AE98" s="16" t="str">
        <f aca="false">IF($AD98="","",$AD98-$B$3)</f>
        <v/>
      </c>
      <c r="AF98" s="36"/>
      <c r="AG98" s="37" t="str">
        <f aca="false">IF(OR($Y98="",$AF98=""),"",$Y98-$AF98)</f>
        <v/>
      </c>
      <c r="AH98" s="33"/>
    </row>
    <row r="99" customFormat="false" ht="15" hidden="false" customHeight="true" outlineLevel="0" collapsed="false">
      <c r="A99" s="33"/>
      <c r="B99" s="33"/>
      <c r="C99" s="33"/>
      <c r="D99" s="33"/>
      <c r="E99" s="33"/>
      <c r="F99" s="33"/>
      <c r="G99" s="33"/>
      <c r="H99" s="33"/>
      <c r="I99" s="33"/>
      <c r="J99" s="34"/>
      <c r="K99" s="33"/>
      <c r="L99" s="33"/>
      <c r="M99" s="35"/>
      <c r="N99" s="35"/>
      <c r="O99" s="33"/>
      <c r="P99" s="33"/>
      <c r="Q99" s="33"/>
      <c r="R99" s="36"/>
      <c r="S99" s="37" t="str">
        <f aca="false">IF(OR($M99="",$R99=""),"",$M99*$R99)</f>
        <v/>
      </c>
      <c r="T99" s="36"/>
      <c r="U99" s="38"/>
      <c r="V99" s="39"/>
      <c r="W99" s="37" t="str">
        <f aca="false">IF(OR($T99="",$U99="",$V99=""),"",$T99*(1-$U99)*$V99)</f>
        <v/>
      </c>
      <c r="X99" s="37" t="str">
        <f aca="false">IF(OR($N99="",$W99=""),"",$N99*$W99)</f>
        <v/>
      </c>
      <c r="Y99" s="37" t="str">
        <f aca="false">IF($S99="","",$S99+IF($X99="",0,$X99))</f>
        <v/>
      </c>
      <c r="Z99" s="33"/>
      <c r="AA99" s="33"/>
      <c r="AB99" s="34"/>
      <c r="AC99" s="34"/>
      <c r="AD99" s="40" t="str">
        <f aca="false">IF($AC99="","",$AC99+365)</f>
        <v/>
      </c>
      <c r="AE99" s="16" t="str">
        <f aca="false">IF($AD99="","",$AD99-$B$3)</f>
        <v/>
      </c>
      <c r="AF99" s="36"/>
      <c r="AG99" s="37" t="str">
        <f aca="false">IF(OR($Y99="",$AF99=""),"",$Y99-$AF99)</f>
        <v/>
      </c>
      <c r="AH99" s="33"/>
    </row>
    <row r="100" customFormat="false" ht="15" hidden="false" customHeight="true" outlineLevel="0" collapsed="false">
      <c r="A100" s="33"/>
      <c r="B100" s="33"/>
      <c r="C100" s="33"/>
      <c r="D100" s="33"/>
      <c r="E100" s="33"/>
      <c r="F100" s="33"/>
      <c r="G100" s="33"/>
      <c r="H100" s="33"/>
      <c r="I100" s="33"/>
      <c r="J100" s="34"/>
      <c r="K100" s="33"/>
      <c r="L100" s="33"/>
      <c r="M100" s="35"/>
      <c r="N100" s="35"/>
      <c r="O100" s="33"/>
      <c r="P100" s="33"/>
      <c r="Q100" s="33"/>
      <c r="R100" s="36"/>
      <c r="S100" s="37" t="str">
        <f aca="false">IF(OR($M100="",$R100=""),"",$M100*$R100)</f>
        <v/>
      </c>
      <c r="T100" s="36"/>
      <c r="U100" s="38"/>
      <c r="V100" s="39"/>
      <c r="W100" s="37" t="str">
        <f aca="false">IF(OR($T100="",$U100="",$V100=""),"",$T100*(1-$U100)*$V100)</f>
        <v/>
      </c>
      <c r="X100" s="37" t="str">
        <f aca="false">IF(OR($N100="",$W100=""),"",$N100*$W100)</f>
        <v/>
      </c>
      <c r="Y100" s="37" t="str">
        <f aca="false">IF($S100="","",$S100+IF($X100="",0,$X100))</f>
        <v/>
      </c>
      <c r="Z100" s="33"/>
      <c r="AA100" s="33"/>
      <c r="AB100" s="34"/>
      <c r="AC100" s="34"/>
      <c r="AD100" s="40" t="str">
        <f aca="false">IF($AC100="","",$AC100+365)</f>
        <v/>
      </c>
      <c r="AE100" s="16" t="str">
        <f aca="false">IF($AD100="","",$AD100-$B$3)</f>
        <v/>
      </c>
      <c r="AF100" s="36"/>
      <c r="AG100" s="37" t="str">
        <f aca="false">IF(OR($Y100="",$AF100=""),"",$Y100-$AF100)</f>
        <v/>
      </c>
      <c r="AH100" s="33"/>
    </row>
    <row r="101" customFormat="false" ht="15" hidden="false" customHeight="true" outlineLevel="0" collapsed="false">
      <c r="A101" s="33"/>
      <c r="B101" s="33"/>
      <c r="C101" s="33"/>
      <c r="D101" s="33"/>
      <c r="E101" s="33"/>
      <c r="F101" s="33"/>
      <c r="G101" s="33"/>
      <c r="H101" s="33"/>
      <c r="I101" s="33"/>
      <c r="J101" s="34"/>
      <c r="K101" s="33"/>
      <c r="L101" s="33"/>
      <c r="M101" s="35"/>
      <c r="N101" s="35"/>
      <c r="O101" s="33"/>
      <c r="P101" s="33"/>
      <c r="Q101" s="33"/>
      <c r="R101" s="36"/>
      <c r="S101" s="37" t="str">
        <f aca="false">IF(OR($M101="",$R101=""),"",$M101*$R101)</f>
        <v/>
      </c>
      <c r="T101" s="36"/>
      <c r="U101" s="38"/>
      <c r="V101" s="39"/>
      <c r="W101" s="37" t="str">
        <f aca="false">IF(OR($T101="",$U101="",$V101=""),"",$T101*(1-$U101)*$V101)</f>
        <v/>
      </c>
      <c r="X101" s="37" t="str">
        <f aca="false">IF(OR($N101="",$W101=""),"",$N101*$W101)</f>
        <v/>
      </c>
      <c r="Y101" s="37" t="str">
        <f aca="false">IF($S101="","",$S101+IF($X101="",0,$X101))</f>
        <v/>
      </c>
      <c r="Z101" s="33"/>
      <c r="AA101" s="33"/>
      <c r="AB101" s="34"/>
      <c r="AC101" s="34"/>
      <c r="AD101" s="40" t="str">
        <f aca="false">IF($AC101="","",$AC101+365)</f>
        <v/>
      </c>
      <c r="AE101" s="16" t="str">
        <f aca="false">IF($AD101="","",$AD101-$B$3)</f>
        <v/>
      </c>
      <c r="AF101" s="36"/>
      <c r="AG101" s="37" t="str">
        <f aca="false">IF(OR($Y101="",$AF101=""),"",$Y101-$AF101)</f>
        <v/>
      </c>
      <c r="AH101" s="33"/>
    </row>
    <row r="102" customFormat="false" ht="15" hidden="false" customHeight="true" outlineLevel="0" collapsed="false">
      <c r="A102" s="33"/>
      <c r="B102" s="33"/>
      <c r="C102" s="33"/>
      <c r="D102" s="33"/>
      <c r="E102" s="33"/>
      <c r="F102" s="33"/>
      <c r="G102" s="33"/>
      <c r="H102" s="33"/>
      <c r="I102" s="33"/>
      <c r="J102" s="34"/>
      <c r="K102" s="33"/>
      <c r="L102" s="33"/>
      <c r="M102" s="35"/>
      <c r="N102" s="35"/>
      <c r="O102" s="33"/>
      <c r="P102" s="33"/>
      <c r="Q102" s="33"/>
      <c r="R102" s="36"/>
      <c r="S102" s="37" t="str">
        <f aca="false">IF(OR($M102="",$R102=""),"",$M102*$R102)</f>
        <v/>
      </c>
      <c r="T102" s="36"/>
      <c r="U102" s="38"/>
      <c r="V102" s="39"/>
      <c r="W102" s="37" t="str">
        <f aca="false">IF(OR($T102="",$U102="",$V102=""),"",$T102*(1-$U102)*$V102)</f>
        <v/>
      </c>
      <c r="X102" s="37" t="str">
        <f aca="false">IF(OR($N102="",$W102=""),"",$N102*$W102)</f>
        <v/>
      </c>
      <c r="Y102" s="37" t="str">
        <f aca="false">IF($S102="","",$S102+IF($X102="",0,$X102))</f>
        <v/>
      </c>
      <c r="Z102" s="33"/>
      <c r="AA102" s="33"/>
      <c r="AB102" s="34"/>
      <c r="AC102" s="34"/>
      <c r="AD102" s="40" t="str">
        <f aca="false">IF($AC102="","",$AC102+365)</f>
        <v/>
      </c>
      <c r="AE102" s="16" t="str">
        <f aca="false">IF($AD102="","",$AD102-$B$3)</f>
        <v/>
      </c>
      <c r="AF102" s="36"/>
      <c r="AG102" s="37" t="str">
        <f aca="false">IF(OR($Y102="",$AF102=""),"",$Y102-$AF102)</f>
        <v/>
      </c>
      <c r="AH102" s="33"/>
    </row>
    <row r="103" customFormat="false" ht="15" hidden="false" customHeight="true" outlineLevel="0" collapsed="false">
      <c r="A103" s="33"/>
      <c r="B103" s="33"/>
      <c r="C103" s="33"/>
      <c r="D103" s="33"/>
      <c r="E103" s="33"/>
      <c r="F103" s="33"/>
      <c r="G103" s="33"/>
      <c r="H103" s="33"/>
      <c r="I103" s="33"/>
      <c r="J103" s="34"/>
      <c r="K103" s="33"/>
      <c r="L103" s="33"/>
      <c r="M103" s="35"/>
      <c r="N103" s="35"/>
      <c r="O103" s="33"/>
      <c r="P103" s="33"/>
      <c r="Q103" s="33"/>
      <c r="R103" s="36"/>
      <c r="S103" s="37" t="str">
        <f aca="false">IF(OR($M103="",$R103=""),"",$M103*$R103)</f>
        <v/>
      </c>
      <c r="T103" s="36"/>
      <c r="U103" s="38"/>
      <c r="V103" s="39"/>
      <c r="W103" s="37" t="str">
        <f aca="false">IF(OR($T103="",$U103="",$V103=""),"",$T103*(1-$U103)*$V103)</f>
        <v/>
      </c>
      <c r="X103" s="37" t="str">
        <f aca="false">IF(OR($N103="",$W103=""),"",$N103*$W103)</f>
        <v/>
      </c>
      <c r="Y103" s="37" t="str">
        <f aca="false">IF($S103="","",$S103+IF($X103="",0,$X103))</f>
        <v/>
      </c>
      <c r="Z103" s="33"/>
      <c r="AA103" s="33"/>
      <c r="AB103" s="34"/>
      <c r="AC103" s="34"/>
      <c r="AD103" s="40" t="str">
        <f aca="false">IF($AC103="","",$AC103+365)</f>
        <v/>
      </c>
      <c r="AE103" s="16" t="str">
        <f aca="false">IF($AD103="","",$AD103-$B$3)</f>
        <v/>
      </c>
      <c r="AF103" s="36"/>
      <c r="AG103" s="37" t="str">
        <f aca="false">IF(OR($Y103="",$AF103=""),"",$Y103-$AF103)</f>
        <v/>
      </c>
      <c r="AH103" s="33"/>
    </row>
    <row r="104" customFormat="false" ht="15" hidden="false" customHeight="true" outlineLevel="0" collapsed="false">
      <c r="A104" s="33"/>
      <c r="B104" s="33"/>
      <c r="C104" s="33"/>
      <c r="D104" s="33"/>
      <c r="E104" s="33"/>
      <c r="F104" s="33"/>
      <c r="G104" s="33"/>
      <c r="H104" s="33"/>
      <c r="I104" s="33"/>
      <c r="J104" s="34"/>
      <c r="K104" s="33"/>
      <c r="L104" s="33"/>
      <c r="M104" s="35"/>
      <c r="N104" s="35"/>
      <c r="O104" s="33"/>
      <c r="P104" s="33"/>
      <c r="Q104" s="33"/>
      <c r="R104" s="36"/>
      <c r="S104" s="37" t="str">
        <f aca="false">IF(OR($M104="",$R104=""),"",$M104*$R104)</f>
        <v/>
      </c>
      <c r="T104" s="36"/>
      <c r="U104" s="38"/>
      <c r="V104" s="39"/>
      <c r="W104" s="37" t="str">
        <f aca="false">IF(OR($T104="",$U104="",$V104=""),"",$T104*(1-$U104)*$V104)</f>
        <v/>
      </c>
      <c r="X104" s="37" t="str">
        <f aca="false">IF(OR($N104="",$W104=""),"",$N104*$W104)</f>
        <v/>
      </c>
      <c r="Y104" s="37" t="str">
        <f aca="false">IF($S104="","",$S104+IF($X104="",0,$X104))</f>
        <v/>
      </c>
      <c r="Z104" s="33"/>
      <c r="AA104" s="33"/>
      <c r="AB104" s="34"/>
      <c r="AC104" s="34"/>
      <c r="AD104" s="40" t="str">
        <f aca="false">IF($AC104="","",$AC104+365)</f>
        <v/>
      </c>
      <c r="AE104" s="16" t="str">
        <f aca="false">IF($AD104="","",$AD104-$B$3)</f>
        <v/>
      </c>
      <c r="AF104" s="36"/>
      <c r="AG104" s="37" t="str">
        <f aca="false">IF(OR($Y104="",$AF104=""),"",$Y104-$AF104)</f>
        <v/>
      </c>
      <c r="AH104" s="33"/>
    </row>
    <row r="105" customFormat="false" ht="15" hidden="false" customHeight="true" outlineLevel="0" collapsed="false">
      <c r="A105" s="33"/>
      <c r="B105" s="33"/>
      <c r="C105" s="33"/>
      <c r="D105" s="33"/>
      <c r="E105" s="33"/>
      <c r="F105" s="33"/>
      <c r="G105" s="33"/>
      <c r="H105" s="33"/>
      <c r="I105" s="33"/>
      <c r="J105" s="34"/>
      <c r="K105" s="33"/>
      <c r="L105" s="33"/>
      <c r="M105" s="35"/>
      <c r="N105" s="35"/>
      <c r="O105" s="33"/>
      <c r="P105" s="33"/>
      <c r="Q105" s="33"/>
      <c r="R105" s="36"/>
      <c r="S105" s="37" t="str">
        <f aca="false">IF(OR($M105="",$R105=""),"",$M105*$R105)</f>
        <v/>
      </c>
      <c r="T105" s="36"/>
      <c r="U105" s="38"/>
      <c r="V105" s="39"/>
      <c r="W105" s="37" t="str">
        <f aca="false">IF(OR($T105="",$U105="",$V105=""),"",$T105*(1-$U105)*$V105)</f>
        <v/>
      </c>
      <c r="X105" s="37" t="str">
        <f aca="false">IF(OR($N105="",$W105=""),"",$N105*$W105)</f>
        <v/>
      </c>
      <c r="Y105" s="37" t="str">
        <f aca="false">IF($S105="","",$S105+IF($X105="",0,$X105))</f>
        <v/>
      </c>
      <c r="Z105" s="33"/>
      <c r="AA105" s="33"/>
      <c r="AB105" s="34"/>
      <c r="AC105" s="34"/>
      <c r="AD105" s="40" t="str">
        <f aca="false">IF($AC105="","",$AC105+365)</f>
        <v/>
      </c>
      <c r="AE105" s="16" t="str">
        <f aca="false">IF($AD105="","",$AD105-$B$3)</f>
        <v/>
      </c>
      <c r="AF105" s="36"/>
      <c r="AG105" s="37" t="str">
        <f aca="false">IF(OR($Y105="",$AF105=""),"",$Y105-$AF105)</f>
        <v/>
      </c>
      <c r="AH105" s="33"/>
    </row>
    <row r="106" customFormat="false" ht="15" hidden="false" customHeight="true" outlineLevel="0" collapsed="false">
      <c r="A106" s="33"/>
      <c r="B106" s="33"/>
      <c r="C106" s="33"/>
      <c r="D106" s="33"/>
      <c r="E106" s="33"/>
      <c r="F106" s="33"/>
      <c r="G106" s="33"/>
      <c r="H106" s="33"/>
      <c r="I106" s="33"/>
      <c r="J106" s="34"/>
      <c r="K106" s="33"/>
      <c r="L106" s="33"/>
      <c r="M106" s="35"/>
      <c r="N106" s="35"/>
      <c r="O106" s="33"/>
      <c r="P106" s="33"/>
      <c r="Q106" s="33"/>
      <c r="R106" s="36"/>
      <c r="S106" s="37" t="str">
        <f aca="false">IF(OR($M106="",$R106=""),"",$M106*$R106)</f>
        <v/>
      </c>
      <c r="T106" s="36"/>
      <c r="U106" s="38"/>
      <c r="V106" s="39"/>
      <c r="W106" s="37" t="str">
        <f aca="false">IF(OR($T106="",$U106="",$V106=""),"",$T106*(1-$U106)*$V106)</f>
        <v/>
      </c>
      <c r="X106" s="37" t="str">
        <f aca="false">IF(OR($N106="",$W106=""),"",$N106*$W106)</f>
        <v/>
      </c>
      <c r="Y106" s="37" t="str">
        <f aca="false">IF($S106="","",$S106+IF($X106="",0,$X106))</f>
        <v/>
      </c>
      <c r="Z106" s="33"/>
      <c r="AA106" s="33"/>
      <c r="AB106" s="34"/>
      <c r="AC106" s="34"/>
      <c r="AD106" s="40" t="str">
        <f aca="false">IF($AC106="","",$AC106+365)</f>
        <v/>
      </c>
      <c r="AE106" s="16" t="str">
        <f aca="false">IF($AD106="","",$AD106-$B$3)</f>
        <v/>
      </c>
      <c r="AF106" s="36"/>
      <c r="AG106" s="37" t="str">
        <f aca="false">IF(OR($Y106="",$AF106=""),"",$Y106-$AF106)</f>
        <v/>
      </c>
      <c r="AH106" s="33"/>
    </row>
    <row r="107" customFormat="false" ht="15" hidden="false" customHeight="true" outlineLevel="0" collapsed="false">
      <c r="A107" s="33"/>
      <c r="B107" s="33"/>
      <c r="C107" s="33"/>
      <c r="D107" s="33"/>
      <c r="E107" s="33"/>
      <c r="F107" s="33"/>
      <c r="G107" s="33"/>
      <c r="H107" s="33"/>
      <c r="I107" s="33"/>
      <c r="J107" s="34"/>
      <c r="K107" s="33"/>
      <c r="L107" s="33"/>
      <c r="M107" s="35"/>
      <c r="N107" s="35"/>
      <c r="O107" s="33"/>
      <c r="P107" s="33"/>
      <c r="Q107" s="33"/>
      <c r="R107" s="36"/>
      <c r="S107" s="37" t="str">
        <f aca="false">IF(OR($M107="",$R107=""),"",$M107*$R107)</f>
        <v/>
      </c>
      <c r="T107" s="36"/>
      <c r="U107" s="38"/>
      <c r="V107" s="39"/>
      <c r="W107" s="37" t="str">
        <f aca="false">IF(OR($T107="",$U107="",$V107=""),"",$T107*(1-$U107)*$V107)</f>
        <v/>
      </c>
      <c r="X107" s="37" t="str">
        <f aca="false">IF(OR($N107="",$W107=""),"",$N107*$W107)</f>
        <v/>
      </c>
      <c r="Y107" s="37" t="str">
        <f aca="false">IF($S107="","",$S107+IF($X107="",0,$X107))</f>
        <v/>
      </c>
      <c r="Z107" s="33"/>
      <c r="AA107" s="33"/>
      <c r="AB107" s="34"/>
      <c r="AC107" s="34"/>
      <c r="AD107" s="40" t="str">
        <f aca="false">IF($AC107="","",$AC107+365)</f>
        <v/>
      </c>
      <c r="AE107" s="16" t="str">
        <f aca="false">IF($AD107="","",$AD107-$B$3)</f>
        <v/>
      </c>
      <c r="AF107" s="36"/>
      <c r="AG107" s="37" t="str">
        <f aca="false">IF(OR($Y107="",$AF107=""),"",$Y107-$AF107)</f>
        <v/>
      </c>
      <c r="AH107" s="33"/>
    </row>
    <row r="108" customFormat="false" ht="15" hidden="false" customHeight="true" outlineLevel="0" collapsed="false">
      <c r="A108" s="33"/>
      <c r="B108" s="33"/>
      <c r="C108" s="33"/>
      <c r="D108" s="33"/>
      <c r="E108" s="33"/>
      <c r="F108" s="33"/>
      <c r="G108" s="33"/>
      <c r="H108" s="33"/>
      <c r="I108" s="33"/>
      <c r="J108" s="34"/>
      <c r="K108" s="33"/>
      <c r="L108" s="33"/>
      <c r="M108" s="35"/>
      <c r="N108" s="35"/>
      <c r="O108" s="33"/>
      <c r="P108" s="33"/>
      <c r="Q108" s="33"/>
      <c r="R108" s="36"/>
      <c r="S108" s="37" t="str">
        <f aca="false">IF(OR($M108="",$R108=""),"",$M108*$R108)</f>
        <v/>
      </c>
      <c r="T108" s="36"/>
      <c r="U108" s="38"/>
      <c r="V108" s="39"/>
      <c r="W108" s="37" t="str">
        <f aca="false">IF(OR($T108="",$U108="",$V108=""),"",$T108*(1-$U108)*$V108)</f>
        <v/>
      </c>
      <c r="X108" s="37" t="str">
        <f aca="false">IF(OR($N108="",$W108=""),"",$N108*$W108)</f>
        <v/>
      </c>
      <c r="Y108" s="37" t="str">
        <f aca="false">IF($S108="","",$S108+IF($X108="",0,$X108))</f>
        <v/>
      </c>
      <c r="Z108" s="33"/>
      <c r="AA108" s="33"/>
      <c r="AB108" s="34"/>
      <c r="AC108" s="34"/>
      <c r="AD108" s="40" t="str">
        <f aca="false">IF($AC108="","",$AC108+365)</f>
        <v/>
      </c>
      <c r="AE108" s="16" t="str">
        <f aca="false">IF($AD108="","",$AD108-$B$3)</f>
        <v/>
      </c>
      <c r="AF108" s="36"/>
      <c r="AG108" s="37" t="str">
        <f aca="false">IF(OR($Y108="",$AF108=""),"",$Y108-$AF108)</f>
        <v/>
      </c>
      <c r="AH108" s="33"/>
    </row>
    <row r="109" customFormat="false" ht="15" hidden="false" customHeight="true" outlineLevel="0" collapsed="false">
      <c r="A109" s="33"/>
      <c r="B109" s="33"/>
      <c r="C109" s="33"/>
      <c r="D109" s="33"/>
      <c r="E109" s="33"/>
      <c r="F109" s="33"/>
      <c r="G109" s="33"/>
      <c r="H109" s="33"/>
      <c r="I109" s="33"/>
      <c r="J109" s="34"/>
      <c r="K109" s="33"/>
      <c r="L109" s="33"/>
      <c r="M109" s="35"/>
      <c r="N109" s="35"/>
      <c r="O109" s="33"/>
      <c r="P109" s="33"/>
      <c r="Q109" s="33"/>
      <c r="R109" s="36"/>
      <c r="S109" s="37" t="str">
        <f aca="false">IF(OR($M109="",$R109=""),"",$M109*$R109)</f>
        <v/>
      </c>
      <c r="T109" s="36"/>
      <c r="U109" s="38"/>
      <c r="V109" s="39"/>
      <c r="W109" s="37" t="str">
        <f aca="false">IF(OR($T109="",$U109="",$V109=""),"",$T109*(1-$U109)*$V109)</f>
        <v/>
      </c>
      <c r="X109" s="37" t="str">
        <f aca="false">IF(OR($N109="",$W109=""),"",$N109*$W109)</f>
        <v/>
      </c>
      <c r="Y109" s="37" t="str">
        <f aca="false">IF($S109="","",$S109+IF($X109="",0,$X109))</f>
        <v/>
      </c>
      <c r="Z109" s="33"/>
      <c r="AA109" s="33"/>
      <c r="AB109" s="34"/>
      <c r="AC109" s="34"/>
      <c r="AD109" s="40" t="str">
        <f aca="false">IF($AC109="","",$AC109+365)</f>
        <v/>
      </c>
      <c r="AE109" s="16" t="str">
        <f aca="false">IF($AD109="","",$AD109-$B$3)</f>
        <v/>
      </c>
      <c r="AF109" s="36"/>
      <c r="AG109" s="37" t="str">
        <f aca="false">IF(OR($Y109="",$AF109=""),"",$Y109-$AF109)</f>
        <v/>
      </c>
      <c r="AH109" s="33"/>
    </row>
    <row r="110" customFormat="false" ht="15" hidden="false" customHeight="true" outlineLevel="0" collapsed="false">
      <c r="A110" s="33"/>
      <c r="B110" s="33"/>
      <c r="C110" s="33"/>
      <c r="D110" s="33"/>
      <c r="E110" s="33"/>
      <c r="F110" s="33"/>
      <c r="G110" s="33"/>
      <c r="H110" s="33"/>
      <c r="I110" s="33"/>
      <c r="J110" s="34"/>
      <c r="K110" s="33"/>
      <c r="L110" s="33"/>
      <c r="M110" s="35"/>
      <c r="N110" s="35"/>
      <c r="O110" s="33"/>
      <c r="P110" s="33"/>
      <c r="Q110" s="33"/>
      <c r="R110" s="36"/>
      <c r="S110" s="37" t="str">
        <f aca="false">IF(OR($M110="",$R110=""),"",$M110*$R110)</f>
        <v/>
      </c>
      <c r="T110" s="36"/>
      <c r="U110" s="38"/>
      <c r="V110" s="39"/>
      <c r="W110" s="37" t="str">
        <f aca="false">IF(OR($T110="",$U110="",$V110=""),"",$T110*(1-$U110)*$V110)</f>
        <v/>
      </c>
      <c r="X110" s="37" t="str">
        <f aca="false">IF(OR($N110="",$W110=""),"",$N110*$W110)</f>
        <v/>
      </c>
      <c r="Y110" s="37" t="str">
        <f aca="false">IF($S110="","",$S110+IF($X110="",0,$X110))</f>
        <v/>
      </c>
      <c r="Z110" s="33"/>
      <c r="AA110" s="33"/>
      <c r="AB110" s="34"/>
      <c r="AC110" s="34"/>
      <c r="AD110" s="40" t="str">
        <f aca="false">IF($AC110="","",$AC110+365)</f>
        <v/>
      </c>
      <c r="AE110" s="16" t="str">
        <f aca="false">IF($AD110="","",$AD110-$B$3)</f>
        <v/>
      </c>
      <c r="AF110" s="36"/>
      <c r="AG110" s="37" t="str">
        <f aca="false">IF(OR($Y110="",$AF110=""),"",$Y110-$AF110)</f>
        <v/>
      </c>
      <c r="AH110" s="33"/>
    </row>
    <row r="111" customFormat="false" ht="15" hidden="false" customHeight="true" outlineLevel="0" collapsed="false">
      <c r="A111" s="33"/>
      <c r="B111" s="33"/>
      <c r="C111" s="33"/>
      <c r="D111" s="33"/>
      <c r="E111" s="33"/>
      <c r="F111" s="33"/>
      <c r="G111" s="33"/>
      <c r="H111" s="33"/>
      <c r="I111" s="33"/>
      <c r="J111" s="34"/>
      <c r="K111" s="33"/>
      <c r="L111" s="33"/>
      <c r="M111" s="35"/>
      <c r="N111" s="35"/>
      <c r="O111" s="33"/>
      <c r="P111" s="33"/>
      <c r="Q111" s="33"/>
      <c r="R111" s="36"/>
      <c r="S111" s="37" t="str">
        <f aca="false">IF(OR($M111="",$R111=""),"",$M111*$R111)</f>
        <v/>
      </c>
      <c r="T111" s="36"/>
      <c r="U111" s="38"/>
      <c r="V111" s="39"/>
      <c r="W111" s="37" t="str">
        <f aca="false">IF(OR($T111="",$U111="",$V111=""),"",$T111*(1-$U111)*$V111)</f>
        <v/>
      </c>
      <c r="X111" s="37" t="str">
        <f aca="false">IF(OR($N111="",$W111=""),"",$N111*$W111)</f>
        <v/>
      </c>
      <c r="Y111" s="37" t="str">
        <f aca="false">IF($S111="","",$S111+IF($X111="",0,$X111))</f>
        <v/>
      </c>
      <c r="Z111" s="33"/>
      <c r="AA111" s="33"/>
      <c r="AB111" s="34"/>
      <c r="AC111" s="34"/>
      <c r="AD111" s="40" t="str">
        <f aca="false">IF($AC111="","",$AC111+365)</f>
        <v/>
      </c>
      <c r="AE111" s="16" t="str">
        <f aca="false">IF($AD111="","",$AD111-$B$3)</f>
        <v/>
      </c>
      <c r="AF111" s="36"/>
      <c r="AG111" s="37" t="str">
        <f aca="false">IF(OR($Y111="",$AF111=""),"",$Y111-$AF111)</f>
        <v/>
      </c>
      <c r="AH111" s="33"/>
    </row>
    <row r="112" customFormat="false" ht="15" hidden="false" customHeight="true" outlineLevel="0" collapsed="false">
      <c r="A112" s="33"/>
      <c r="B112" s="33"/>
      <c r="C112" s="33"/>
      <c r="D112" s="33"/>
      <c r="E112" s="33"/>
      <c r="F112" s="33"/>
      <c r="G112" s="33"/>
      <c r="H112" s="33"/>
      <c r="I112" s="33"/>
      <c r="J112" s="34"/>
      <c r="K112" s="33"/>
      <c r="L112" s="33"/>
      <c r="M112" s="35"/>
      <c r="N112" s="35"/>
      <c r="O112" s="33"/>
      <c r="P112" s="33"/>
      <c r="Q112" s="33"/>
      <c r="R112" s="36"/>
      <c r="S112" s="37" t="str">
        <f aca="false">IF(OR($M112="",$R112=""),"",$M112*$R112)</f>
        <v/>
      </c>
      <c r="T112" s="36"/>
      <c r="U112" s="38"/>
      <c r="V112" s="39"/>
      <c r="W112" s="37" t="str">
        <f aca="false">IF(OR($T112="",$U112="",$V112=""),"",$T112*(1-$U112)*$V112)</f>
        <v/>
      </c>
      <c r="X112" s="37" t="str">
        <f aca="false">IF(OR($N112="",$W112=""),"",$N112*$W112)</f>
        <v/>
      </c>
      <c r="Y112" s="37" t="str">
        <f aca="false">IF($S112="","",$S112+IF($X112="",0,$X112))</f>
        <v/>
      </c>
      <c r="Z112" s="33"/>
      <c r="AA112" s="33"/>
      <c r="AB112" s="34"/>
      <c r="AC112" s="34"/>
      <c r="AD112" s="40" t="str">
        <f aca="false">IF($AC112="","",$AC112+365)</f>
        <v/>
      </c>
      <c r="AE112" s="16" t="str">
        <f aca="false">IF($AD112="","",$AD112-$B$3)</f>
        <v/>
      </c>
      <c r="AF112" s="36"/>
      <c r="AG112" s="37" t="str">
        <f aca="false">IF(OR($Y112="",$AF112=""),"",$Y112-$AF112)</f>
        <v/>
      </c>
      <c r="AH112" s="33"/>
    </row>
    <row r="113" customFormat="false" ht="15" hidden="false" customHeight="true" outlineLevel="0" collapsed="false">
      <c r="A113" s="33"/>
      <c r="B113" s="33"/>
      <c r="C113" s="33"/>
      <c r="D113" s="33"/>
      <c r="E113" s="33"/>
      <c r="F113" s="33"/>
      <c r="G113" s="33"/>
      <c r="H113" s="33"/>
      <c r="I113" s="33"/>
      <c r="J113" s="34"/>
      <c r="K113" s="33"/>
      <c r="L113" s="33"/>
      <c r="M113" s="35"/>
      <c r="N113" s="35"/>
      <c r="O113" s="33"/>
      <c r="P113" s="33"/>
      <c r="Q113" s="33"/>
      <c r="R113" s="36"/>
      <c r="S113" s="37" t="str">
        <f aca="false">IF(OR($M113="",$R113=""),"",$M113*$R113)</f>
        <v/>
      </c>
      <c r="T113" s="36"/>
      <c r="U113" s="38"/>
      <c r="V113" s="39"/>
      <c r="W113" s="37" t="str">
        <f aca="false">IF(OR($T113="",$U113="",$V113=""),"",$T113*(1-$U113)*$V113)</f>
        <v/>
      </c>
      <c r="X113" s="37" t="str">
        <f aca="false">IF(OR($N113="",$W113=""),"",$N113*$W113)</f>
        <v/>
      </c>
      <c r="Y113" s="37" t="str">
        <f aca="false">IF($S113="","",$S113+IF($X113="",0,$X113))</f>
        <v/>
      </c>
      <c r="Z113" s="33"/>
      <c r="AA113" s="33"/>
      <c r="AB113" s="34"/>
      <c r="AC113" s="34"/>
      <c r="AD113" s="40" t="str">
        <f aca="false">IF($AC113="","",$AC113+365)</f>
        <v/>
      </c>
      <c r="AE113" s="16" t="str">
        <f aca="false">IF($AD113="","",$AD113-$B$3)</f>
        <v/>
      </c>
      <c r="AF113" s="36"/>
      <c r="AG113" s="37" t="str">
        <f aca="false">IF(OR($Y113="",$AF113=""),"",$Y113-$AF113)</f>
        <v/>
      </c>
      <c r="AH113" s="33"/>
    </row>
    <row r="114" customFormat="false" ht="15" hidden="false" customHeight="true" outlineLevel="0" collapsed="false">
      <c r="A114" s="33"/>
      <c r="B114" s="33"/>
      <c r="C114" s="33"/>
      <c r="D114" s="33"/>
      <c r="E114" s="33"/>
      <c r="F114" s="33"/>
      <c r="G114" s="33"/>
      <c r="H114" s="33"/>
      <c r="I114" s="33"/>
      <c r="J114" s="34"/>
      <c r="K114" s="33"/>
      <c r="L114" s="33"/>
      <c r="M114" s="35"/>
      <c r="N114" s="35"/>
      <c r="O114" s="33"/>
      <c r="P114" s="33"/>
      <c r="Q114" s="33"/>
      <c r="R114" s="36"/>
      <c r="S114" s="37" t="str">
        <f aca="false">IF(OR($M114="",$R114=""),"",$M114*$R114)</f>
        <v/>
      </c>
      <c r="T114" s="36"/>
      <c r="U114" s="38"/>
      <c r="V114" s="39"/>
      <c r="W114" s="37" t="str">
        <f aca="false">IF(OR($T114="",$U114="",$V114=""),"",$T114*(1-$U114)*$V114)</f>
        <v/>
      </c>
      <c r="X114" s="37" t="str">
        <f aca="false">IF(OR($N114="",$W114=""),"",$N114*$W114)</f>
        <v/>
      </c>
      <c r="Y114" s="37" t="str">
        <f aca="false">IF($S114="","",$S114+IF($X114="",0,$X114))</f>
        <v/>
      </c>
      <c r="Z114" s="33"/>
      <c r="AA114" s="33"/>
      <c r="AB114" s="34"/>
      <c r="AC114" s="34"/>
      <c r="AD114" s="40" t="str">
        <f aca="false">IF($AC114="","",$AC114+365)</f>
        <v/>
      </c>
      <c r="AE114" s="16" t="str">
        <f aca="false">IF($AD114="","",$AD114-$B$3)</f>
        <v/>
      </c>
      <c r="AF114" s="36"/>
      <c r="AG114" s="37" t="str">
        <f aca="false">IF(OR($Y114="",$AF114=""),"",$Y114-$AF114)</f>
        <v/>
      </c>
      <c r="AH114" s="33"/>
    </row>
    <row r="115" customFormat="false" ht="15" hidden="false" customHeight="true" outlineLevel="0" collapsed="false">
      <c r="A115" s="33"/>
      <c r="B115" s="33"/>
      <c r="C115" s="33"/>
      <c r="D115" s="33"/>
      <c r="E115" s="33"/>
      <c r="F115" s="33"/>
      <c r="G115" s="33"/>
      <c r="H115" s="33"/>
      <c r="I115" s="33"/>
      <c r="J115" s="34"/>
      <c r="K115" s="33"/>
      <c r="L115" s="33"/>
      <c r="M115" s="35"/>
      <c r="N115" s="35"/>
      <c r="O115" s="33"/>
      <c r="P115" s="33"/>
      <c r="Q115" s="33"/>
      <c r="R115" s="36"/>
      <c r="S115" s="37" t="str">
        <f aca="false">IF(OR($M115="",$R115=""),"",$M115*$R115)</f>
        <v/>
      </c>
      <c r="T115" s="36"/>
      <c r="U115" s="38"/>
      <c r="V115" s="39"/>
      <c r="W115" s="37" t="str">
        <f aca="false">IF(OR($T115="",$U115="",$V115=""),"",$T115*(1-$U115)*$V115)</f>
        <v/>
      </c>
      <c r="X115" s="37" t="str">
        <f aca="false">IF(OR($N115="",$W115=""),"",$N115*$W115)</f>
        <v/>
      </c>
      <c r="Y115" s="37" t="str">
        <f aca="false">IF($S115="","",$S115+IF($X115="",0,$X115))</f>
        <v/>
      </c>
      <c r="Z115" s="33"/>
      <c r="AA115" s="33"/>
      <c r="AB115" s="34"/>
      <c r="AC115" s="34"/>
      <c r="AD115" s="40" t="str">
        <f aca="false">IF($AC115="","",$AC115+365)</f>
        <v/>
      </c>
      <c r="AE115" s="16" t="str">
        <f aca="false">IF($AD115="","",$AD115-$B$3)</f>
        <v/>
      </c>
      <c r="AF115" s="36"/>
      <c r="AG115" s="37" t="str">
        <f aca="false">IF(OR($Y115="",$AF115=""),"",$Y115-$AF115)</f>
        <v/>
      </c>
      <c r="AH115" s="33"/>
    </row>
    <row r="116" customFormat="false" ht="15" hidden="false" customHeight="true" outlineLevel="0" collapsed="false">
      <c r="A116" s="33"/>
      <c r="B116" s="33"/>
      <c r="C116" s="33"/>
      <c r="D116" s="33"/>
      <c r="E116" s="33"/>
      <c r="F116" s="33"/>
      <c r="G116" s="33"/>
      <c r="H116" s="33"/>
      <c r="I116" s="33"/>
      <c r="J116" s="34"/>
      <c r="K116" s="33"/>
      <c r="L116" s="33"/>
      <c r="M116" s="35"/>
      <c r="N116" s="35"/>
      <c r="O116" s="33"/>
      <c r="P116" s="33"/>
      <c r="Q116" s="33"/>
      <c r="R116" s="36"/>
      <c r="S116" s="37" t="str">
        <f aca="false">IF(OR($M116="",$R116=""),"",$M116*$R116)</f>
        <v/>
      </c>
      <c r="T116" s="36"/>
      <c r="U116" s="38"/>
      <c r="V116" s="39"/>
      <c r="W116" s="37" t="str">
        <f aca="false">IF(OR($T116="",$U116="",$V116=""),"",$T116*(1-$U116)*$V116)</f>
        <v/>
      </c>
      <c r="X116" s="37" t="str">
        <f aca="false">IF(OR($N116="",$W116=""),"",$N116*$W116)</f>
        <v/>
      </c>
      <c r="Y116" s="37" t="str">
        <f aca="false">IF($S116="","",$S116+IF($X116="",0,$X116))</f>
        <v/>
      </c>
      <c r="Z116" s="33"/>
      <c r="AA116" s="33"/>
      <c r="AB116" s="34"/>
      <c r="AC116" s="34"/>
      <c r="AD116" s="40" t="str">
        <f aca="false">IF($AC116="","",$AC116+365)</f>
        <v/>
      </c>
      <c r="AE116" s="16" t="str">
        <f aca="false">IF($AD116="","",$AD116-$B$3)</f>
        <v/>
      </c>
      <c r="AF116" s="36"/>
      <c r="AG116" s="37" t="str">
        <f aca="false">IF(OR($Y116="",$AF116=""),"",$Y116-$AF116)</f>
        <v/>
      </c>
      <c r="AH116" s="33"/>
    </row>
    <row r="117" customFormat="false" ht="15" hidden="false" customHeight="true" outlineLevel="0" collapsed="false">
      <c r="A117" s="33"/>
      <c r="B117" s="33"/>
      <c r="C117" s="33"/>
      <c r="D117" s="33"/>
      <c r="E117" s="33"/>
      <c r="F117" s="33"/>
      <c r="G117" s="33"/>
      <c r="H117" s="33"/>
      <c r="I117" s="33"/>
      <c r="J117" s="34"/>
      <c r="K117" s="33"/>
      <c r="L117" s="33"/>
      <c r="M117" s="35"/>
      <c r="N117" s="35"/>
      <c r="O117" s="33"/>
      <c r="P117" s="33"/>
      <c r="Q117" s="33"/>
      <c r="R117" s="36"/>
      <c r="S117" s="37" t="str">
        <f aca="false">IF(OR($M117="",$R117=""),"",$M117*$R117)</f>
        <v/>
      </c>
      <c r="T117" s="36"/>
      <c r="U117" s="38"/>
      <c r="V117" s="39"/>
      <c r="W117" s="37" t="str">
        <f aca="false">IF(OR($T117="",$U117="",$V117=""),"",$T117*(1-$U117)*$V117)</f>
        <v/>
      </c>
      <c r="X117" s="37" t="str">
        <f aca="false">IF(OR($N117="",$W117=""),"",$N117*$W117)</f>
        <v/>
      </c>
      <c r="Y117" s="37" t="str">
        <f aca="false">IF($S117="","",$S117+IF($X117="",0,$X117))</f>
        <v/>
      </c>
      <c r="Z117" s="33"/>
      <c r="AA117" s="33"/>
      <c r="AB117" s="34"/>
      <c r="AC117" s="34"/>
      <c r="AD117" s="40" t="str">
        <f aca="false">IF($AC117="","",$AC117+365)</f>
        <v/>
      </c>
      <c r="AE117" s="16" t="str">
        <f aca="false">IF($AD117="","",$AD117-$B$3)</f>
        <v/>
      </c>
      <c r="AF117" s="36"/>
      <c r="AG117" s="37" t="str">
        <f aca="false">IF(OR($Y117="",$AF117=""),"",$Y117-$AF117)</f>
        <v/>
      </c>
      <c r="AH117" s="33"/>
    </row>
    <row r="118" customFormat="false" ht="15" hidden="false" customHeight="true" outlineLevel="0" collapsed="false">
      <c r="A118" s="33"/>
      <c r="B118" s="33"/>
      <c r="C118" s="33"/>
      <c r="D118" s="33"/>
      <c r="E118" s="33"/>
      <c r="F118" s="33"/>
      <c r="G118" s="33"/>
      <c r="H118" s="33"/>
      <c r="I118" s="33"/>
      <c r="J118" s="34"/>
      <c r="K118" s="33"/>
      <c r="L118" s="33"/>
      <c r="M118" s="35"/>
      <c r="N118" s="35"/>
      <c r="O118" s="33"/>
      <c r="P118" s="33"/>
      <c r="Q118" s="33"/>
      <c r="R118" s="36"/>
      <c r="S118" s="37" t="str">
        <f aca="false">IF(OR($M118="",$R118=""),"",$M118*$R118)</f>
        <v/>
      </c>
      <c r="T118" s="36"/>
      <c r="U118" s="38"/>
      <c r="V118" s="39"/>
      <c r="W118" s="37" t="str">
        <f aca="false">IF(OR($T118="",$U118="",$V118=""),"",$T118*(1-$U118)*$V118)</f>
        <v/>
      </c>
      <c r="X118" s="37" t="str">
        <f aca="false">IF(OR($N118="",$W118=""),"",$N118*$W118)</f>
        <v/>
      </c>
      <c r="Y118" s="37" t="str">
        <f aca="false">IF($S118="","",$S118+IF($X118="",0,$X118))</f>
        <v/>
      </c>
      <c r="Z118" s="33"/>
      <c r="AA118" s="33"/>
      <c r="AB118" s="34"/>
      <c r="AC118" s="34"/>
      <c r="AD118" s="40" t="str">
        <f aca="false">IF($AC118="","",$AC118+365)</f>
        <v/>
      </c>
      <c r="AE118" s="16" t="str">
        <f aca="false">IF($AD118="","",$AD118-$B$3)</f>
        <v/>
      </c>
      <c r="AF118" s="36"/>
      <c r="AG118" s="37" t="str">
        <f aca="false">IF(OR($Y118="",$AF118=""),"",$Y118-$AF118)</f>
        <v/>
      </c>
      <c r="AH118" s="33"/>
    </row>
    <row r="119" customFormat="false" ht="15" hidden="false" customHeight="true" outlineLevel="0" collapsed="false">
      <c r="A119" s="33"/>
      <c r="B119" s="33"/>
      <c r="C119" s="33"/>
      <c r="D119" s="33"/>
      <c r="E119" s="33"/>
      <c r="F119" s="33"/>
      <c r="G119" s="33"/>
      <c r="H119" s="33"/>
      <c r="I119" s="33"/>
      <c r="J119" s="34"/>
      <c r="K119" s="33"/>
      <c r="L119" s="33"/>
      <c r="M119" s="35"/>
      <c r="N119" s="35"/>
      <c r="O119" s="33"/>
      <c r="P119" s="33"/>
      <c r="Q119" s="33"/>
      <c r="R119" s="36"/>
      <c r="S119" s="37" t="str">
        <f aca="false">IF(OR($M119="",$R119=""),"",$M119*$R119)</f>
        <v/>
      </c>
      <c r="T119" s="36"/>
      <c r="U119" s="38"/>
      <c r="V119" s="39"/>
      <c r="W119" s="37" t="str">
        <f aca="false">IF(OR($T119="",$U119="",$V119=""),"",$T119*(1-$U119)*$V119)</f>
        <v/>
      </c>
      <c r="X119" s="37" t="str">
        <f aca="false">IF(OR($N119="",$W119=""),"",$N119*$W119)</f>
        <v/>
      </c>
      <c r="Y119" s="37" t="str">
        <f aca="false">IF($S119="","",$S119+IF($X119="",0,$X119))</f>
        <v/>
      </c>
      <c r="Z119" s="33"/>
      <c r="AA119" s="33"/>
      <c r="AB119" s="34"/>
      <c r="AC119" s="34"/>
      <c r="AD119" s="40" t="str">
        <f aca="false">IF($AC119="","",$AC119+365)</f>
        <v/>
      </c>
      <c r="AE119" s="16" t="str">
        <f aca="false">IF($AD119="","",$AD119-$B$3)</f>
        <v/>
      </c>
      <c r="AF119" s="36"/>
      <c r="AG119" s="37" t="str">
        <f aca="false">IF(OR($Y119="",$AF119=""),"",$Y119-$AF119)</f>
        <v/>
      </c>
      <c r="AH119" s="33"/>
    </row>
    <row r="120" customFormat="false" ht="15" hidden="false" customHeight="tru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4"/>
      <c r="K120" s="33"/>
      <c r="L120" s="33"/>
      <c r="M120" s="35"/>
      <c r="N120" s="35"/>
      <c r="O120" s="33"/>
      <c r="P120" s="33"/>
      <c r="Q120" s="33"/>
      <c r="R120" s="36"/>
      <c r="S120" s="37" t="str">
        <f aca="false">IF(OR($M120="",$R120=""),"",$M120*$R120)</f>
        <v/>
      </c>
      <c r="T120" s="36"/>
      <c r="U120" s="38"/>
      <c r="V120" s="39"/>
      <c r="W120" s="37" t="str">
        <f aca="false">IF(OR($T120="",$U120="",$V120=""),"",$T120*(1-$U120)*$V120)</f>
        <v/>
      </c>
      <c r="X120" s="37" t="str">
        <f aca="false">IF(OR($N120="",$W120=""),"",$N120*$W120)</f>
        <v/>
      </c>
      <c r="Y120" s="37" t="str">
        <f aca="false">IF($S120="","",$S120+IF($X120="",0,$X120))</f>
        <v/>
      </c>
      <c r="Z120" s="33"/>
      <c r="AA120" s="33"/>
      <c r="AB120" s="34"/>
      <c r="AC120" s="34"/>
      <c r="AD120" s="40" t="str">
        <f aca="false">IF($AC120="","",$AC120+365)</f>
        <v/>
      </c>
      <c r="AE120" s="16" t="str">
        <f aca="false">IF($AD120="","",$AD120-$B$3)</f>
        <v/>
      </c>
      <c r="AF120" s="36"/>
      <c r="AG120" s="37" t="str">
        <f aca="false">IF(OR($Y120="",$AF120=""),"",$Y120-$AF120)</f>
        <v/>
      </c>
      <c r="AH120" s="33"/>
    </row>
    <row r="121" customFormat="false" ht="15" hidden="false" customHeight="true" outlineLevel="0" collapsed="false">
      <c r="A121" s="33"/>
      <c r="B121" s="33"/>
      <c r="C121" s="33"/>
      <c r="D121" s="33"/>
      <c r="E121" s="33"/>
      <c r="F121" s="33"/>
      <c r="G121" s="33"/>
      <c r="H121" s="33"/>
      <c r="I121" s="33"/>
      <c r="J121" s="34"/>
      <c r="K121" s="33"/>
      <c r="L121" s="33"/>
      <c r="M121" s="35"/>
      <c r="N121" s="35"/>
      <c r="O121" s="33"/>
      <c r="P121" s="33"/>
      <c r="Q121" s="33"/>
      <c r="R121" s="36"/>
      <c r="S121" s="37" t="str">
        <f aca="false">IF(OR($M121="",$R121=""),"",$M121*$R121)</f>
        <v/>
      </c>
      <c r="T121" s="36"/>
      <c r="U121" s="38"/>
      <c r="V121" s="39"/>
      <c r="W121" s="37" t="str">
        <f aca="false">IF(OR($T121="",$U121="",$V121=""),"",$T121*(1-$U121)*$V121)</f>
        <v/>
      </c>
      <c r="X121" s="37" t="str">
        <f aca="false">IF(OR($N121="",$W121=""),"",$N121*$W121)</f>
        <v/>
      </c>
      <c r="Y121" s="37" t="str">
        <f aca="false">IF($S121="","",$S121+IF($X121="",0,$X121))</f>
        <v/>
      </c>
      <c r="Z121" s="33"/>
      <c r="AA121" s="33"/>
      <c r="AB121" s="34"/>
      <c r="AC121" s="34"/>
      <c r="AD121" s="40" t="str">
        <f aca="false">IF($AC121="","",$AC121+365)</f>
        <v/>
      </c>
      <c r="AE121" s="16" t="str">
        <f aca="false">IF($AD121="","",$AD121-$B$3)</f>
        <v/>
      </c>
      <c r="AF121" s="36"/>
      <c r="AG121" s="37" t="str">
        <f aca="false">IF(OR($Y121="",$AF121=""),"",$Y121-$AF121)</f>
        <v/>
      </c>
      <c r="AH121" s="33"/>
    </row>
    <row r="122" customFormat="false" ht="15" hidden="false" customHeight="true" outlineLevel="0" collapsed="false">
      <c r="A122" s="33"/>
      <c r="B122" s="33"/>
      <c r="C122" s="33"/>
      <c r="D122" s="33"/>
      <c r="E122" s="33"/>
      <c r="F122" s="33"/>
      <c r="G122" s="33"/>
      <c r="H122" s="33"/>
      <c r="I122" s="33"/>
      <c r="J122" s="34"/>
      <c r="K122" s="33"/>
      <c r="L122" s="33"/>
      <c r="M122" s="35"/>
      <c r="N122" s="35"/>
      <c r="O122" s="33"/>
      <c r="P122" s="33"/>
      <c r="Q122" s="33"/>
      <c r="R122" s="36"/>
      <c r="S122" s="37" t="str">
        <f aca="false">IF(OR($M122="",$R122=""),"",$M122*$R122)</f>
        <v/>
      </c>
      <c r="T122" s="36"/>
      <c r="U122" s="38"/>
      <c r="V122" s="39"/>
      <c r="W122" s="37" t="str">
        <f aca="false">IF(OR($T122="",$U122="",$V122=""),"",$T122*(1-$U122)*$V122)</f>
        <v/>
      </c>
      <c r="X122" s="37" t="str">
        <f aca="false">IF(OR($N122="",$W122=""),"",$N122*$W122)</f>
        <v/>
      </c>
      <c r="Y122" s="37" t="str">
        <f aca="false">IF($S122="","",$S122+IF($X122="",0,$X122))</f>
        <v/>
      </c>
      <c r="Z122" s="33"/>
      <c r="AA122" s="33"/>
      <c r="AB122" s="34"/>
      <c r="AC122" s="34"/>
      <c r="AD122" s="40" t="str">
        <f aca="false">IF($AC122="","",$AC122+365)</f>
        <v/>
      </c>
      <c r="AE122" s="16" t="str">
        <f aca="false">IF($AD122="","",$AD122-$B$3)</f>
        <v/>
      </c>
      <c r="AF122" s="36"/>
      <c r="AG122" s="37" t="str">
        <f aca="false">IF(OR($Y122="",$AF122=""),"",$Y122-$AF122)</f>
        <v/>
      </c>
      <c r="AH122" s="33"/>
    </row>
    <row r="123" customFormat="false" ht="15" hidden="false" customHeight="true" outlineLevel="0" collapsed="false">
      <c r="A123" s="33"/>
      <c r="B123" s="33"/>
      <c r="C123" s="33"/>
      <c r="D123" s="33"/>
      <c r="E123" s="33"/>
      <c r="F123" s="33"/>
      <c r="G123" s="33"/>
      <c r="H123" s="33"/>
      <c r="I123" s="33"/>
      <c r="J123" s="34"/>
      <c r="K123" s="33"/>
      <c r="L123" s="33"/>
      <c r="M123" s="35"/>
      <c r="N123" s="35"/>
      <c r="O123" s="33"/>
      <c r="P123" s="33"/>
      <c r="Q123" s="33"/>
      <c r="R123" s="36"/>
      <c r="S123" s="37" t="str">
        <f aca="false">IF(OR($M123="",$R123=""),"",$M123*$R123)</f>
        <v/>
      </c>
      <c r="T123" s="36"/>
      <c r="U123" s="38"/>
      <c r="V123" s="39"/>
      <c r="W123" s="37" t="str">
        <f aca="false">IF(OR($T123="",$U123="",$V123=""),"",$T123*(1-$U123)*$V123)</f>
        <v/>
      </c>
      <c r="X123" s="37" t="str">
        <f aca="false">IF(OR($N123="",$W123=""),"",$N123*$W123)</f>
        <v/>
      </c>
      <c r="Y123" s="37" t="str">
        <f aca="false">IF($S123="","",$S123+IF($X123="",0,$X123))</f>
        <v/>
      </c>
      <c r="Z123" s="33"/>
      <c r="AA123" s="33"/>
      <c r="AB123" s="34"/>
      <c r="AC123" s="34"/>
      <c r="AD123" s="40" t="str">
        <f aca="false">IF($AC123="","",$AC123+365)</f>
        <v/>
      </c>
      <c r="AE123" s="16" t="str">
        <f aca="false">IF($AD123="","",$AD123-$B$3)</f>
        <v/>
      </c>
      <c r="AF123" s="36"/>
      <c r="AG123" s="37" t="str">
        <f aca="false">IF(OR($Y123="",$AF123=""),"",$Y123-$AF123)</f>
        <v/>
      </c>
      <c r="AH123" s="33"/>
    </row>
    <row r="124" customFormat="false" ht="15" hidden="false" customHeight="true" outlineLevel="0" collapsed="false">
      <c r="A124" s="33"/>
      <c r="B124" s="33"/>
      <c r="C124" s="33"/>
      <c r="D124" s="33"/>
      <c r="E124" s="33"/>
      <c r="F124" s="33"/>
      <c r="G124" s="33"/>
      <c r="H124" s="33"/>
      <c r="I124" s="33"/>
      <c r="J124" s="34"/>
      <c r="K124" s="33"/>
      <c r="L124" s="33"/>
      <c r="M124" s="35"/>
      <c r="N124" s="35"/>
      <c r="O124" s="33"/>
      <c r="P124" s="33"/>
      <c r="Q124" s="33"/>
      <c r="R124" s="36"/>
      <c r="S124" s="37" t="str">
        <f aca="false">IF(OR($M124="",$R124=""),"",$M124*$R124)</f>
        <v/>
      </c>
      <c r="T124" s="36"/>
      <c r="U124" s="38"/>
      <c r="V124" s="39"/>
      <c r="W124" s="37" t="str">
        <f aca="false">IF(OR($T124="",$U124="",$V124=""),"",$T124*(1-$U124)*$V124)</f>
        <v/>
      </c>
      <c r="X124" s="37" t="str">
        <f aca="false">IF(OR($N124="",$W124=""),"",$N124*$W124)</f>
        <v/>
      </c>
      <c r="Y124" s="37" t="str">
        <f aca="false">IF($S124="","",$S124+IF($X124="",0,$X124))</f>
        <v/>
      </c>
      <c r="Z124" s="33"/>
      <c r="AA124" s="33"/>
      <c r="AB124" s="34"/>
      <c r="AC124" s="34"/>
      <c r="AD124" s="40" t="str">
        <f aca="false">IF($AC124="","",$AC124+365)</f>
        <v/>
      </c>
      <c r="AE124" s="16" t="str">
        <f aca="false">IF($AD124="","",$AD124-$B$3)</f>
        <v/>
      </c>
      <c r="AF124" s="36"/>
      <c r="AG124" s="37" t="str">
        <f aca="false">IF(OR($Y124="",$AF124=""),"",$Y124-$AF124)</f>
        <v/>
      </c>
      <c r="AH124" s="33"/>
    </row>
    <row r="125" customFormat="false" ht="15" hidden="false" customHeight="true" outlineLevel="0" collapsed="false">
      <c r="A125" s="33"/>
      <c r="B125" s="33"/>
      <c r="C125" s="33"/>
      <c r="D125" s="33"/>
      <c r="E125" s="33"/>
      <c r="F125" s="33"/>
      <c r="G125" s="33"/>
      <c r="H125" s="33"/>
      <c r="I125" s="33"/>
      <c r="J125" s="34"/>
      <c r="K125" s="33"/>
      <c r="L125" s="33"/>
      <c r="M125" s="35"/>
      <c r="N125" s="35"/>
      <c r="O125" s="33"/>
      <c r="P125" s="33"/>
      <c r="Q125" s="33"/>
      <c r="R125" s="36"/>
      <c r="S125" s="37" t="str">
        <f aca="false">IF(OR($M125="",$R125=""),"",$M125*$R125)</f>
        <v/>
      </c>
      <c r="T125" s="36"/>
      <c r="U125" s="38"/>
      <c r="V125" s="39"/>
      <c r="W125" s="37" t="str">
        <f aca="false">IF(OR($T125="",$U125="",$V125=""),"",$T125*(1-$U125)*$V125)</f>
        <v/>
      </c>
      <c r="X125" s="37" t="str">
        <f aca="false">IF(OR($N125="",$W125=""),"",$N125*$W125)</f>
        <v/>
      </c>
      <c r="Y125" s="37" t="str">
        <f aca="false">IF($S125="","",$S125+IF($X125="",0,$X125))</f>
        <v/>
      </c>
      <c r="Z125" s="33"/>
      <c r="AA125" s="33"/>
      <c r="AB125" s="34"/>
      <c r="AC125" s="34"/>
      <c r="AD125" s="40" t="str">
        <f aca="false">IF($AC125="","",$AC125+365)</f>
        <v/>
      </c>
      <c r="AE125" s="16" t="str">
        <f aca="false">IF($AD125="","",$AD125-$B$3)</f>
        <v/>
      </c>
      <c r="AF125" s="36"/>
      <c r="AG125" s="37" t="str">
        <f aca="false">IF(OR($Y125="",$AF125=""),"",$Y125-$AF125)</f>
        <v/>
      </c>
      <c r="AH125" s="33"/>
    </row>
    <row r="126" customFormat="false" ht="15" hidden="false" customHeight="true" outlineLevel="0" collapsed="false">
      <c r="A126" s="33"/>
      <c r="B126" s="33"/>
      <c r="C126" s="33"/>
      <c r="D126" s="33"/>
      <c r="E126" s="33"/>
      <c r="F126" s="33"/>
      <c r="G126" s="33"/>
      <c r="H126" s="33"/>
      <c r="I126" s="33"/>
      <c r="J126" s="34"/>
      <c r="K126" s="33"/>
      <c r="L126" s="33"/>
      <c r="M126" s="35"/>
      <c r="N126" s="35"/>
      <c r="O126" s="33"/>
      <c r="P126" s="33"/>
      <c r="Q126" s="33"/>
      <c r="R126" s="36"/>
      <c r="S126" s="37" t="str">
        <f aca="false">IF(OR($M126="",$R126=""),"",$M126*$R126)</f>
        <v/>
      </c>
      <c r="T126" s="36"/>
      <c r="U126" s="38"/>
      <c r="V126" s="39"/>
      <c r="W126" s="37" t="str">
        <f aca="false">IF(OR($T126="",$U126="",$V126=""),"",$T126*(1-$U126)*$V126)</f>
        <v/>
      </c>
      <c r="X126" s="37" t="str">
        <f aca="false">IF(OR($N126="",$W126=""),"",$N126*$W126)</f>
        <v/>
      </c>
      <c r="Y126" s="37" t="str">
        <f aca="false">IF($S126="","",$S126+IF($X126="",0,$X126))</f>
        <v/>
      </c>
      <c r="Z126" s="33"/>
      <c r="AA126" s="33"/>
      <c r="AB126" s="34"/>
      <c r="AC126" s="34"/>
      <c r="AD126" s="40" t="str">
        <f aca="false">IF($AC126="","",$AC126+365)</f>
        <v/>
      </c>
      <c r="AE126" s="16" t="str">
        <f aca="false">IF($AD126="","",$AD126-$B$3)</f>
        <v/>
      </c>
      <c r="AF126" s="36"/>
      <c r="AG126" s="37" t="str">
        <f aca="false">IF(OR($Y126="",$AF126=""),"",$Y126-$AF126)</f>
        <v/>
      </c>
      <c r="AH126" s="33"/>
    </row>
    <row r="127" customFormat="false" ht="15" hidden="false" customHeight="true" outlineLevel="0" collapsed="false">
      <c r="A127" s="33"/>
      <c r="B127" s="33"/>
      <c r="C127" s="33"/>
      <c r="D127" s="33"/>
      <c r="E127" s="33"/>
      <c r="F127" s="33"/>
      <c r="G127" s="33"/>
      <c r="H127" s="33"/>
      <c r="I127" s="33"/>
      <c r="J127" s="34"/>
      <c r="K127" s="33"/>
      <c r="L127" s="33"/>
      <c r="M127" s="35"/>
      <c r="N127" s="35"/>
      <c r="O127" s="33"/>
      <c r="P127" s="33"/>
      <c r="Q127" s="33"/>
      <c r="R127" s="36"/>
      <c r="S127" s="37" t="str">
        <f aca="false">IF(OR($M127="",$R127=""),"",$M127*$R127)</f>
        <v/>
      </c>
      <c r="T127" s="36"/>
      <c r="U127" s="38"/>
      <c r="V127" s="39"/>
      <c r="W127" s="37" t="str">
        <f aca="false">IF(OR($T127="",$U127="",$V127=""),"",$T127*(1-$U127)*$V127)</f>
        <v/>
      </c>
      <c r="X127" s="37" t="str">
        <f aca="false">IF(OR($N127="",$W127=""),"",$N127*$W127)</f>
        <v/>
      </c>
      <c r="Y127" s="37" t="str">
        <f aca="false">IF($S127="","",$S127+IF($X127="",0,$X127))</f>
        <v/>
      </c>
      <c r="Z127" s="33"/>
      <c r="AA127" s="33"/>
      <c r="AB127" s="34"/>
      <c r="AC127" s="34"/>
      <c r="AD127" s="40" t="str">
        <f aca="false">IF($AC127="","",$AC127+365)</f>
        <v/>
      </c>
      <c r="AE127" s="16" t="str">
        <f aca="false">IF($AD127="","",$AD127-$B$3)</f>
        <v/>
      </c>
      <c r="AF127" s="36"/>
      <c r="AG127" s="37" t="str">
        <f aca="false">IF(OR($Y127="",$AF127=""),"",$Y127-$AF127)</f>
        <v/>
      </c>
      <c r="AH127" s="33"/>
    </row>
    <row r="128" customFormat="false" ht="15" hidden="false" customHeight="true" outlineLevel="0" collapsed="false">
      <c r="A128" s="33"/>
      <c r="B128" s="33"/>
      <c r="C128" s="33"/>
      <c r="D128" s="33"/>
      <c r="E128" s="33"/>
      <c r="F128" s="33"/>
      <c r="G128" s="33"/>
      <c r="H128" s="33"/>
      <c r="I128" s="33"/>
      <c r="J128" s="34"/>
      <c r="K128" s="33"/>
      <c r="L128" s="33"/>
      <c r="M128" s="35"/>
      <c r="N128" s="35"/>
      <c r="O128" s="33"/>
      <c r="P128" s="33"/>
      <c r="Q128" s="33"/>
      <c r="R128" s="36"/>
      <c r="S128" s="37" t="str">
        <f aca="false">IF(OR($M128="",$R128=""),"",$M128*$R128)</f>
        <v/>
      </c>
      <c r="T128" s="36"/>
      <c r="U128" s="38"/>
      <c r="V128" s="39"/>
      <c r="W128" s="37" t="str">
        <f aca="false">IF(OR($T128="",$U128="",$V128=""),"",$T128*(1-$U128)*$V128)</f>
        <v/>
      </c>
      <c r="X128" s="37" t="str">
        <f aca="false">IF(OR($N128="",$W128=""),"",$N128*$W128)</f>
        <v/>
      </c>
      <c r="Y128" s="37" t="str">
        <f aca="false">IF($S128="","",$S128+IF($X128="",0,$X128))</f>
        <v/>
      </c>
      <c r="Z128" s="33"/>
      <c r="AA128" s="33"/>
      <c r="AB128" s="34"/>
      <c r="AC128" s="34"/>
      <c r="AD128" s="40" t="str">
        <f aca="false">IF($AC128="","",$AC128+365)</f>
        <v/>
      </c>
      <c r="AE128" s="16" t="str">
        <f aca="false">IF($AD128="","",$AD128-$B$3)</f>
        <v/>
      </c>
      <c r="AF128" s="36"/>
      <c r="AG128" s="37" t="str">
        <f aca="false">IF(OR($Y128="",$AF128=""),"",$Y128-$AF128)</f>
        <v/>
      </c>
      <c r="AH128" s="33"/>
    </row>
    <row r="129" customFormat="false" ht="15" hidden="false" customHeight="true" outlineLevel="0" collapsed="false">
      <c r="A129" s="33"/>
      <c r="B129" s="33"/>
      <c r="C129" s="33"/>
      <c r="D129" s="33"/>
      <c r="E129" s="33"/>
      <c r="F129" s="33"/>
      <c r="G129" s="33"/>
      <c r="H129" s="33"/>
      <c r="I129" s="33"/>
      <c r="J129" s="34"/>
      <c r="K129" s="33"/>
      <c r="L129" s="33"/>
      <c r="M129" s="35"/>
      <c r="N129" s="35"/>
      <c r="O129" s="33"/>
      <c r="P129" s="33"/>
      <c r="Q129" s="33"/>
      <c r="R129" s="36"/>
      <c r="S129" s="37" t="str">
        <f aca="false">IF(OR($M129="",$R129=""),"",$M129*$R129)</f>
        <v/>
      </c>
      <c r="T129" s="36"/>
      <c r="U129" s="38"/>
      <c r="V129" s="39"/>
      <c r="W129" s="37" t="str">
        <f aca="false">IF(OR($T129="",$U129="",$V129=""),"",$T129*(1-$U129)*$V129)</f>
        <v/>
      </c>
      <c r="X129" s="37" t="str">
        <f aca="false">IF(OR($N129="",$W129=""),"",$N129*$W129)</f>
        <v/>
      </c>
      <c r="Y129" s="37" t="str">
        <f aca="false">IF($S129="","",$S129+IF($X129="",0,$X129))</f>
        <v/>
      </c>
      <c r="Z129" s="33"/>
      <c r="AA129" s="33"/>
      <c r="AB129" s="34"/>
      <c r="AC129" s="34"/>
      <c r="AD129" s="40" t="str">
        <f aca="false">IF($AC129="","",$AC129+365)</f>
        <v/>
      </c>
      <c r="AE129" s="16" t="str">
        <f aca="false">IF($AD129="","",$AD129-$B$3)</f>
        <v/>
      </c>
      <c r="AF129" s="36"/>
      <c r="AG129" s="37" t="str">
        <f aca="false">IF(OR($Y129="",$AF129=""),"",$Y129-$AF129)</f>
        <v/>
      </c>
      <c r="AH129" s="33"/>
    </row>
    <row r="130" customFormat="false" ht="15" hidden="false" customHeight="true" outlineLevel="0" collapsed="false">
      <c r="A130" s="33"/>
      <c r="B130" s="33"/>
      <c r="C130" s="33"/>
      <c r="D130" s="33"/>
      <c r="E130" s="33"/>
      <c r="F130" s="33"/>
      <c r="G130" s="33"/>
      <c r="H130" s="33"/>
      <c r="I130" s="33"/>
      <c r="J130" s="34"/>
      <c r="K130" s="33"/>
      <c r="L130" s="33"/>
      <c r="M130" s="35"/>
      <c r="N130" s="35"/>
      <c r="O130" s="33"/>
      <c r="P130" s="33"/>
      <c r="Q130" s="33"/>
      <c r="R130" s="36"/>
      <c r="S130" s="37" t="str">
        <f aca="false">IF(OR($M130="",$R130=""),"",$M130*$R130)</f>
        <v/>
      </c>
      <c r="T130" s="36"/>
      <c r="U130" s="38"/>
      <c r="V130" s="39"/>
      <c r="W130" s="37" t="str">
        <f aca="false">IF(OR($T130="",$U130="",$V130=""),"",$T130*(1-$U130)*$V130)</f>
        <v/>
      </c>
      <c r="X130" s="37" t="str">
        <f aca="false">IF(OR($N130="",$W130=""),"",$N130*$W130)</f>
        <v/>
      </c>
      <c r="Y130" s="37" t="str">
        <f aca="false">IF($S130="","",$S130+IF($X130="",0,$X130))</f>
        <v/>
      </c>
      <c r="Z130" s="33"/>
      <c r="AA130" s="33"/>
      <c r="AB130" s="34"/>
      <c r="AC130" s="34"/>
      <c r="AD130" s="40" t="str">
        <f aca="false">IF($AC130="","",$AC130+365)</f>
        <v/>
      </c>
      <c r="AE130" s="16" t="str">
        <f aca="false">IF($AD130="","",$AD130-$B$3)</f>
        <v/>
      </c>
      <c r="AF130" s="36"/>
      <c r="AG130" s="37" t="str">
        <f aca="false">IF(OR($Y130="",$AF130=""),"",$Y130-$AF130)</f>
        <v/>
      </c>
      <c r="AH130" s="33"/>
    </row>
    <row r="131" customFormat="false" ht="15" hidden="false" customHeight="true" outlineLevel="0" collapsed="false">
      <c r="A131" s="33"/>
      <c r="B131" s="33"/>
      <c r="C131" s="33"/>
      <c r="D131" s="33"/>
      <c r="E131" s="33"/>
      <c r="F131" s="33"/>
      <c r="G131" s="33"/>
      <c r="H131" s="33"/>
      <c r="I131" s="33"/>
      <c r="J131" s="34"/>
      <c r="K131" s="33"/>
      <c r="L131" s="33"/>
      <c r="M131" s="35"/>
      <c r="N131" s="35"/>
      <c r="O131" s="33"/>
      <c r="P131" s="33"/>
      <c r="Q131" s="33"/>
      <c r="R131" s="36"/>
      <c r="S131" s="37" t="str">
        <f aca="false">IF(OR($M131="",$R131=""),"",$M131*$R131)</f>
        <v/>
      </c>
      <c r="T131" s="36"/>
      <c r="U131" s="38"/>
      <c r="V131" s="39"/>
      <c r="W131" s="37" t="str">
        <f aca="false">IF(OR($T131="",$U131="",$V131=""),"",$T131*(1-$U131)*$V131)</f>
        <v/>
      </c>
      <c r="X131" s="37" t="str">
        <f aca="false">IF(OR($N131="",$W131=""),"",$N131*$W131)</f>
        <v/>
      </c>
      <c r="Y131" s="37" t="str">
        <f aca="false">IF($S131="","",$S131+IF($X131="",0,$X131))</f>
        <v/>
      </c>
      <c r="Z131" s="33"/>
      <c r="AA131" s="33"/>
      <c r="AB131" s="34"/>
      <c r="AC131" s="34"/>
      <c r="AD131" s="40" t="str">
        <f aca="false">IF($AC131="","",$AC131+365)</f>
        <v/>
      </c>
      <c r="AE131" s="16" t="str">
        <f aca="false">IF($AD131="","",$AD131-$B$3)</f>
        <v/>
      </c>
      <c r="AF131" s="36"/>
      <c r="AG131" s="37" t="str">
        <f aca="false">IF(OR($Y131="",$AF131=""),"",$Y131-$AF131)</f>
        <v/>
      </c>
      <c r="AH131" s="33"/>
    </row>
    <row r="132" customFormat="false" ht="15" hidden="false" customHeight="true" outlineLevel="0" collapsed="false">
      <c r="A132" s="33"/>
      <c r="B132" s="33"/>
      <c r="C132" s="33"/>
      <c r="D132" s="33"/>
      <c r="E132" s="33"/>
      <c r="F132" s="33"/>
      <c r="G132" s="33"/>
      <c r="H132" s="33"/>
      <c r="I132" s="33"/>
      <c r="J132" s="34"/>
      <c r="K132" s="33"/>
      <c r="L132" s="33"/>
      <c r="M132" s="35"/>
      <c r="N132" s="35"/>
      <c r="O132" s="33"/>
      <c r="P132" s="33"/>
      <c r="Q132" s="33"/>
      <c r="R132" s="36"/>
      <c r="S132" s="37" t="str">
        <f aca="false">IF(OR($M132="",$R132=""),"",$M132*$R132)</f>
        <v/>
      </c>
      <c r="T132" s="36"/>
      <c r="U132" s="38"/>
      <c r="V132" s="39"/>
      <c r="W132" s="37" t="str">
        <f aca="false">IF(OR($T132="",$U132="",$V132=""),"",$T132*(1-$U132)*$V132)</f>
        <v/>
      </c>
      <c r="X132" s="37" t="str">
        <f aca="false">IF(OR($N132="",$W132=""),"",$N132*$W132)</f>
        <v/>
      </c>
      <c r="Y132" s="37" t="str">
        <f aca="false">IF($S132="","",$S132+IF($X132="",0,$X132))</f>
        <v/>
      </c>
      <c r="Z132" s="33"/>
      <c r="AA132" s="33"/>
      <c r="AB132" s="34"/>
      <c r="AC132" s="34"/>
      <c r="AD132" s="40" t="str">
        <f aca="false">IF($AC132="","",$AC132+365)</f>
        <v/>
      </c>
      <c r="AE132" s="16" t="str">
        <f aca="false">IF($AD132="","",$AD132-$B$3)</f>
        <v/>
      </c>
      <c r="AF132" s="36"/>
      <c r="AG132" s="37" t="str">
        <f aca="false">IF(OR($Y132="",$AF132=""),"",$Y132-$AF132)</f>
        <v/>
      </c>
      <c r="AH132" s="33"/>
    </row>
    <row r="133" customFormat="false" ht="15" hidden="false" customHeight="true" outlineLevel="0" collapsed="false">
      <c r="A133" s="33"/>
      <c r="B133" s="33"/>
      <c r="C133" s="33"/>
      <c r="D133" s="33"/>
      <c r="E133" s="33"/>
      <c r="F133" s="33"/>
      <c r="G133" s="33"/>
      <c r="H133" s="33"/>
      <c r="I133" s="33"/>
      <c r="J133" s="34"/>
      <c r="K133" s="33"/>
      <c r="L133" s="33"/>
      <c r="M133" s="35"/>
      <c r="N133" s="35"/>
      <c r="O133" s="33"/>
      <c r="P133" s="33"/>
      <c r="Q133" s="33"/>
      <c r="R133" s="36"/>
      <c r="S133" s="37" t="str">
        <f aca="false">IF(OR($M133="",$R133=""),"",$M133*$R133)</f>
        <v/>
      </c>
      <c r="T133" s="36"/>
      <c r="U133" s="38"/>
      <c r="V133" s="39"/>
      <c r="W133" s="37" t="str">
        <f aca="false">IF(OR($T133="",$U133="",$V133=""),"",$T133*(1-$U133)*$V133)</f>
        <v/>
      </c>
      <c r="X133" s="37" t="str">
        <f aca="false">IF(OR($N133="",$W133=""),"",$N133*$W133)</f>
        <v/>
      </c>
      <c r="Y133" s="37" t="str">
        <f aca="false">IF($S133="","",$S133+IF($X133="",0,$X133))</f>
        <v/>
      </c>
      <c r="Z133" s="33"/>
      <c r="AA133" s="33"/>
      <c r="AB133" s="34"/>
      <c r="AC133" s="34"/>
      <c r="AD133" s="40" t="str">
        <f aca="false">IF($AC133="","",$AC133+365)</f>
        <v/>
      </c>
      <c r="AE133" s="16" t="str">
        <f aca="false">IF($AD133="","",$AD133-$B$3)</f>
        <v/>
      </c>
      <c r="AF133" s="36"/>
      <c r="AG133" s="37" t="str">
        <f aca="false">IF(OR($Y133="",$AF133=""),"",$Y133-$AF133)</f>
        <v/>
      </c>
      <c r="AH133" s="33"/>
    </row>
    <row r="134" customFormat="false" ht="15" hidden="false" customHeight="true" outlineLevel="0" collapsed="false">
      <c r="A134" s="33"/>
      <c r="B134" s="33"/>
      <c r="C134" s="33"/>
      <c r="D134" s="33"/>
      <c r="E134" s="33"/>
      <c r="F134" s="33"/>
      <c r="G134" s="33"/>
      <c r="H134" s="33"/>
      <c r="I134" s="33"/>
      <c r="J134" s="34"/>
      <c r="K134" s="33"/>
      <c r="L134" s="33"/>
      <c r="M134" s="35"/>
      <c r="N134" s="35"/>
      <c r="O134" s="33"/>
      <c r="P134" s="33"/>
      <c r="Q134" s="33"/>
      <c r="R134" s="36"/>
      <c r="S134" s="37" t="str">
        <f aca="false">IF(OR($M134="",$R134=""),"",$M134*$R134)</f>
        <v/>
      </c>
      <c r="T134" s="36"/>
      <c r="U134" s="38"/>
      <c r="V134" s="39"/>
      <c r="W134" s="37" t="str">
        <f aca="false">IF(OR($T134="",$U134="",$V134=""),"",$T134*(1-$U134)*$V134)</f>
        <v/>
      </c>
      <c r="X134" s="37" t="str">
        <f aca="false">IF(OR($N134="",$W134=""),"",$N134*$W134)</f>
        <v/>
      </c>
      <c r="Y134" s="37" t="str">
        <f aca="false">IF($S134="","",$S134+IF($X134="",0,$X134))</f>
        <v/>
      </c>
      <c r="Z134" s="33"/>
      <c r="AA134" s="33"/>
      <c r="AB134" s="34"/>
      <c r="AC134" s="34"/>
      <c r="AD134" s="40" t="str">
        <f aca="false">IF($AC134="","",$AC134+365)</f>
        <v/>
      </c>
      <c r="AE134" s="16" t="str">
        <f aca="false">IF($AD134="","",$AD134-$B$3)</f>
        <v/>
      </c>
      <c r="AF134" s="36"/>
      <c r="AG134" s="37" t="str">
        <f aca="false">IF(OR($Y134="",$AF134=""),"",$Y134-$AF134)</f>
        <v/>
      </c>
      <c r="AH134" s="33"/>
    </row>
    <row r="135" customFormat="false" ht="15" hidden="false" customHeight="true" outlineLevel="0" collapsed="false">
      <c r="A135" s="33"/>
      <c r="B135" s="33"/>
      <c r="C135" s="33"/>
      <c r="D135" s="33"/>
      <c r="E135" s="33"/>
      <c r="F135" s="33"/>
      <c r="G135" s="33"/>
      <c r="H135" s="33"/>
      <c r="I135" s="33"/>
      <c r="J135" s="34"/>
      <c r="K135" s="33"/>
      <c r="L135" s="33"/>
      <c r="M135" s="35"/>
      <c r="N135" s="35"/>
      <c r="O135" s="33"/>
      <c r="P135" s="33"/>
      <c r="Q135" s="33"/>
      <c r="R135" s="36"/>
      <c r="S135" s="37" t="str">
        <f aca="false">IF(OR($M135="",$R135=""),"",$M135*$R135)</f>
        <v/>
      </c>
      <c r="T135" s="36"/>
      <c r="U135" s="38"/>
      <c r="V135" s="39"/>
      <c r="W135" s="37" t="str">
        <f aca="false">IF(OR($T135="",$U135="",$V135=""),"",$T135*(1-$U135)*$V135)</f>
        <v/>
      </c>
      <c r="X135" s="37" t="str">
        <f aca="false">IF(OR($N135="",$W135=""),"",$N135*$W135)</f>
        <v/>
      </c>
      <c r="Y135" s="37" t="str">
        <f aca="false">IF($S135="","",$S135+IF($X135="",0,$X135))</f>
        <v/>
      </c>
      <c r="Z135" s="33"/>
      <c r="AA135" s="33"/>
      <c r="AB135" s="34"/>
      <c r="AC135" s="34"/>
      <c r="AD135" s="40" t="str">
        <f aca="false">IF($AC135="","",$AC135+365)</f>
        <v/>
      </c>
      <c r="AE135" s="16" t="str">
        <f aca="false">IF($AD135="","",$AD135-$B$3)</f>
        <v/>
      </c>
      <c r="AF135" s="36"/>
      <c r="AG135" s="37" t="str">
        <f aca="false">IF(OR($Y135="",$AF135=""),"",$Y135-$AF135)</f>
        <v/>
      </c>
      <c r="AH135" s="33"/>
    </row>
    <row r="136" customFormat="false" ht="15" hidden="false" customHeight="true" outlineLevel="0" collapsed="false">
      <c r="A136" s="33"/>
      <c r="B136" s="33"/>
      <c r="C136" s="33"/>
      <c r="D136" s="33"/>
      <c r="E136" s="33"/>
      <c r="F136" s="33"/>
      <c r="G136" s="33"/>
      <c r="H136" s="33"/>
      <c r="I136" s="33"/>
      <c r="J136" s="34"/>
      <c r="K136" s="33"/>
      <c r="L136" s="33"/>
      <c r="M136" s="35"/>
      <c r="N136" s="35"/>
      <c r="O136" s="33"/>
      <c r="P136" s="33"/>
      <c r="Q136" s="33"/>
      <c r="R136" s="36"/>
      <c r="S136" s="37" t="str">
        <f aca="false">IF(OR($M136="",$R136=""),"",$M136*$R136)</f>
        <v/>
      </c>
      <c r="T136" s="36"/>
      <c r="U136" s="38"/>
      <c r="V136" s="39"/>
      <c r="W136" s="37" t="str">
        <f aca="false">IF(OR($T136="",$U136="",$V136=""),"",$T136*(1-$U136)*$V136)</f>
        <v/>
      </c>
      <c r="X136" s="37" t="str">
        <f aca="false">IF(OR($N136="",$W136=""),"",$N136*$W136)</f>
        <v/>
      </c>
      <c r="Y136" s="37" t="str">
        <f aca="false">IF($S136="","",$S136+IF($X136="",0,$X136))</f>
        <v/>
      </c>
      <c r="Z136" s="33"/>
      <c r="AA136" s="33"/>
      <c r="AB136" s="34"/>
      <c r="AC136" s="34"/>
      <c r="AD136" s="40" t="str">
        <f aca="false">IF($AC136="","",$AC136+365)</f>
        <v/>
      </c>
      <c r="AE136" s="16" t="str">
        <f aca="false">IF($AD136="","",$AD136-$B$3)</f>
        <v/>
      </c>
      <c r="AF136" s="36"/>
      <c r="AG136" s="37" t="str">
        <f aca="false">IF(OR($Y136="",$AF136=""),"",$Y136-$AF136)</f>
        <v/>
      </c>
      <c r="AH136" s="33"/>
    </row>
    <row r="137" customFormat="false" ht="15" hidden="false" customHeight="true" outlineLevel="0" collapsed="false">
      <c r="A137" s="33"/>
      <c r="B137" s="33"/>
      <c r="C137" s="33"/>
      <c r="D137" s="33"/>
      <c r="E137" s="33"/>
      <c r="F137" s="33"/>
      <c r="G137" s="33"/>
      <c r="H137" s="33"/>
      <c r="I137" s="33"/>
      <c r="J137" s="34"/>
      <c r="K137" s="33"/>
      <c r="L137" s="33"/>
      <c r="M137" s="35"/>
      <c r="N137" s="35"/>
      <c r="O137" s="33"/>
      <c r="P137" s="33"/>
      <c r="Q137" s="33"/>
      <c r="R137" s="36"/>
      <c r="S137" s="37" t="str">
        <f aca="false">IF(OR($M137="",$R137=""),"",$M137*$R137)</f>
        <v/>
      </c>
      <c r="T137" s="36"/>
      <c r="U137" s="38"/>
      <c r="V137" s="39"/>
      <c r="W137" s="37" t="str">
        <f aca="false">IF(OR($T137="",$U137="",$V137=""),"",$T137*(1-$U137)*$V137)</f>
        <v/>
      </c>
      <c r="X137" s="37" t="str">
        <f aca="false">IF(OR($N137="",$W137=""),"",$N137*$W137)</f>
        <v/>
      </c>
      <c r="Y137" s="37" t="str">
        <f aca="false">IF($S137="","",$S137+IF($X137="",0,$X137))</f>
        <v/>
      </c>
      <c r="Z137" s="33"/>
      <c r="AA137" s="33"/>
      <c r="AB137" s="34"/>
      <c r="AC137" s="34"/>
      <c r="AD137" s="40" t="str">
        <f aca="false">IF($AC137="","",$AC137+365)</f>
        <v/>
      </c>
      <c r="AE137" s="16" t="str">
        <f aca="false">IF($AD137="","",$AD137-$B$3)</f>
        <v/>
      </c>
      <c r="AF137" s="36"/>
      <c r="AG137" s="37" t="str">
        <f aca="false">IF(OR($Y137="",$AF137=""),"",$Y137-$AF137)</f>
        <v/>
      </c>
      <c r="AH137" s="33"/>
    </row>
    <row r="138" customFormat="false" ht="15" hidden="false" customHeight="true" outlineLevel="0" collapsed="false">
      <c r="A138" s="33"/>
      <c r="B138" s="33"/>
      <c r="C138" s="33"/>
      <c r="D138" s="33"/>
      <c r="E138" s="33"/>
      <c r="F138" s="33"/>
      <c r="G138" s="33"/>
      <c r="H138" s="33"/>
      <c r="I138" s="33"/>
      <c r="J138" s="34"/>
      <c r="K138" s="33"/>
      <c r="L138" s="33"/>
      <c r="M138" s="35"/>
      <c r="N138" s="35"/>
      <c r="O138" s="33"/>
      <c r="P138" s="33"/>
      <c r="Q138" s="33"/>
      <c r="R138" s="36"/>
      <c r="S138" s="37" t="str">
        <f aca="false">IF(OR($M138="",$R138=""),"",$M138*$R138)</f>
        <v/>
      </c>
      <c r="T138" s="36"/>
      <c r="U138" s="38"/>
      <c r="V138" s="39"/>
      <c r="W138" s="37" t="str">
        <f aca="false">IF(OR($T138="",$U138="",$V138=""),"",$T138*(1-$U138)*$V138)</f>
        <v/>
      </c>
      <c r="X138" s="37" t="str">
        <f aca="false">IF(OR($N138="",$W138=""),"",$N138*$W138)</f>
        <v/>
      </c>
      <c r="Y138" s="37" t="str">
        <f aca="false">IF($S138="","",$S138+IF($X138="",0,$X138))</f>
        <v/>
      </c>
      <c r="Z138" s="33"/>
      <c r="AA138" s="33"/>
      <c r="AB138" s="34"/>
      <c r="AC138" s="34"/>
      <c r="AD138" s="40" t="str">
        <f aca="false">IF($AC138="","",$AC138+365)</f>
        <v/>
      </c>
      <c r="AE138" s="16" t="str">
        <f aca="false">IF($AD138="","",$AD138-$B$3)</f>
        <v/>
      </c>
      <c r="AF138" s="36"/>
      <c r="AG138" s="37" t="str">
        <f aca="false">IF(OR($Y138="",$AF138=""),"",$Y138-$AF138)</f>
        <v/>
      </c>
      <c r="AH138" s="33"/>
    </row>
    <row r="139" customFormat="false" ht="15" hidden="false" customHeight="true" outlineLevel="0" collapsed="false">
      <c r="A139" s="33"/>
      <c r="B139" s="33"/>
      <c r="C139" s="33"/>
      <c r="D139" s="33"/>
      <c r="E139" s="33"/>
      <c r="F139" s="33"/>
      <c r="G139" s="33"/>
      <c r="H139" s="33"/>
      <c r="I139" s="33"/>
      <c r="J139" s="34"/>
      <c r="K139" s="33"/>
      <c r="L139" s="33"/>
      <c r="M139" s="35"/>
      <c r="N139" s="35"/>
      <c r="O139" s="33"/>
      <c r="P139" s="33"/>
      <c r="Q139" s="33"/>
      <c r="R139" s="36"/>
      <c r="S139" s="37" t="str">
        <f aca="false">IF(OR($M139="",$R139=""),"",$M139*$R139)</f>
        <v/>
      </c>
      <c r="T139" s="36"/>
      <c r="U139" s="38"/>
      <c r="V139" s="39"/>
      <c r="W139" s="37" t="str">
        <f aca="false">IF(OR($T139="",$U139="",$V139=""),"",$T139*(1-$U139)*$V139)</f>
        <v/>
      </c>
      <c r="X139" s="37" t="str">
        <f aca="false">IF(OR($N139="",$W139=""),"",$N139*$W139)</f>
        <v/>
      </c>
      <c r="Y139" s="37" t="str">
        <f aca="false">IF($S139="","",$S139+IF($X139="",0,$X139))</f>
        <v/>
      </c>
      <c r="Z139" s="33"/>
      <c r="AA139" s="33"/>
      <c r="AB139" s="34"/>
      <c r="AC139" s="34"/>
      <c r="AD139" s="40" t="str">
        <f aca="false">IF($AC139="","",$AC139+365)</f>
        <v/>
      </c>
      <c r="AE139" s="16" t="str">
        <f aca="false">IF($AD139="","",$AD139-$B$3)</f>
        <v/>
      </c>
      <c r="AF139" s="36"/>
      <c r="AG139" s="37" t="str">
        <f aca="false">IF(OR($Y139="",$AF139=""),"",$Y139-$AF139)</f>
        <v/>
      </c>
      <c r="AH139" s="33"/>
    </row>
    <row r="140" customFormat="false" ht="15" hidden="false" customHeight="true" outlineLevel="0" collapsed="false">
      <c r="A140" s="33"/>
      <c r="B140" s="33"/>
      <c r="C140" s="33"/>
      <c r="D140" s="33"/>
      <c r="E140" s="33"/>
      <c r="F140" s="33"/>
      <c r="G140" s="33"/>
      <c r="H140" s="33"/>
      <c r="I140" s="33"/>
      <c r="J140" s="34"/>
      <c r="K140" s="33"/>
      <c r="L140" s="33"/>
      <c r="M140" s="35"/>
      <c r="N140" s="35"/>
      <c r="O140" s="33"/>
      <c r="P140" s="33"/>
      <c r="Q140" s="33"/>
      <c r="R140" s="36"/>
      <c r="S140" s="37" t="str">
        <f aca="false">IF(OR($M140="",$R140=""),"",$M140*$R140)</f>
        <v/>
      </c>
      <c r="T140" s="36"/>
      <c r="U140" s="38"/>
      <c r="V140" s="39"/>
      <c r="W140" s="37" t="str">
        <f aca="false">IF(OR($T140="",$U140="",$V140=""),"",$T140*(1-$U140)*$V140)</f>
        <v/>
      </c>
      <c r="X140" s="37" t="str">
        <f aca="false">IF(OR($N140="",$W140=""),"",$N140*$W140)</f>
        <v/>
      </c>
      <c r="Y140" s="37" t="str">
        <f aca="false">IF($S140="","",$S140+IF($X140="",0,$X140))</f>
        <v/>
      </c>
      <c r="Z140" s="33"/>
      <c r="AA140" s="33"/>
      <c r="AB140" s="34"/>
      <c r="AC140" s="34"/>
      <c r="AD140" s="40" t="str">
        <f aca="false">IF($AC140="","",$AC140+365)</f>
        <v/>
      </c>
      <c r="AE140" s="16" t="str">
        <f aca="false">IF($AD140="","",$AD140-$B$3)</f>
        <v/>
      </c>
      <c r="AF140" s="36"/>
      <c r="AG140" s="37" t="str">
        <f aca="false">IF(OR($Y140="",$AF140=""),"",$Y140-$AF140)</f>
        <v/>
      </c>
      <c r="AH140" s="33"/>
    </row>
    <row r="141" customFormat="false" ht="15" hidden="false" customHeight="true" outlineLevel="0" collapsed="false">
      <c r="A141" s="33"/>
      <c r="B141" s="33"/>
      <c r="C141" s="33"/>
      <c r="D141" s="33"/>
      <c r="E141" s="33"/>
      <c r="F141" s="33"/>
      <c r="G141" s="33"/>
      <c r="H141" s="33"/>
      <c r="I141" s="33"/>
      <c r="J141" s="34"/>
      <c r="K141" s="33"/>
      <c r="L141" s="33"/>
      <c r="M141" s="35"/>
      <c r="N141" s="35"/>
      <c r="O141" s="33"/>
      <c r="P141" s="33"/>
      <c r="Q141" s="33"/>
      <c r="R141" s="36"/>
      <c r="S141" s="37" t="str">
        <f aca="false">IF(OR($M141="",$R141=""),"",$M141*$R141)</f>
        <v/>
      </c>
      <c r="T141" s="36"/>
      <c r="U141" s="38"/>
      <c r="V141" s="39"/>
      <c r="W141" s="37" t="str">
        <f aca="false">IF(OR($T141="",$U141="",$V141=""),"",$T141*(1-$U141)*$V141)</f>
        <v/>
      </c>
      <c r="X141" s="37" t="str">
        <f aca="false">IF(OR($N141="",$W141=""),"",$N141*$W141)</f>
        <v/>
      </c>
      <c r="Y141" s="37" t="str">
        <f aca="false">IF($S141="","",$S141+IF($X141="",0,$X141))</f>
        <v/>
      </c>
      <c r="Z141" s="33"/>
      <c r="AA141" s="33"/>
      <c r="AB141" s="34"/>
      <c r="AC141" s="34"/>
      <c r="AD141" s="40" t="str">
        <f aca="false">IF($AC141="","",$AC141+365)</f>
        <v/>
      </c>
      <c r="AE141" s="16" t="str">
        <f aca="false">IF($AD141="","",$AD141-$B$3)</f>
        <v/>
      </c>
      <c r="AF141" s="36"/>
      <c r="AG141" s="37" t="str">
        <f aca="false">IF(OR($Y141="",$AF141=""),"",$Y141-$AF141)</f>
        <v/>
      </c>
      <c r="AH141" s="33"/>
    </row>
    <row r="142" customFormat="false" ht="15" hidden="false" customHeight="true" outlineLevel="0" collapsed="false">
      <c r="A142" s="33"/>
      <c r="B142" s="33"/>
      <c r="C142" s="33"/>
      <c r="D142" s="33"/>
      <c r="E142" s="33"/>
      <c r="F142" s="33"/>
      <c r="G142" s="33"/>
      <c r="H142" s="33"/>
      <c r="I142" s="33"/>
      <c r="J142" s="34"/>
      <c r="K142" s="33"/>
      <c r="L142" s="33"/>
      <c r="M142" s="35"/>
      <c r="N142" s="35"/>
      <c r="O142" s="33"/>
      <c r="P142" s="33"/>
      <c r="Q142" s="33"/>
      <c r="R142" s="36"/>
      <c r="S142" s="37" t="str">
        <f aca="false">IF(OR($M142="",$R142=""),"",$M142*$R142)</f>
        <v/>
      </c>
      <c r="T142" s="36"/>
      <c r="U142" s="38"/>
      <c r="V142" s="39"/>
      <c r="W142" s="37" t="str">
        <f aca="false">IF(OR($T142="",$U142="",$V142=""),"",$T142*(1-$U142)*$V142)</f>
        <v/>
      </c>
      <c r="X142" s="37" t="str">
        <f aca="false">IF(OR($N142="",$W142=""),"",$N142*$W142)</f>
        <v/>
      </c>
      <c r="Y142" s="37" t="str">
        <f aca="false">IF($S142="","",$S142+IF($X142="",0,$X142))</f>
        <v/>
      </c>
      <c r="Z142" s="33"/>
      <c r="AA142" s="33"/>
      <c r="AB142" s="34"/>
      <c r="AC142" s="34"/>
      <c r="AD142" s="40" t="str">
        <f aca="false">IF($AC142="","",$AC142+365)</f>
        <v/>
      </c>
      <c r="AE142" s="16" t="str">
        <f aca="false">IF($AD142="","",$AD142-$B$3)</f>
        <v/>
      </c>
      <c r="AF142" s="36"/>
      <c r="AG142" s="37" t="str">
        <f aca="false">IF(OR($Y142="",$AF142=""),"",$Y142-$AF142)</f>
        <v/>
      </c>
      <c r="AH142" s="33"/>
    </row>
    <row r="143" customFormat="false" ht="15" hidden="false" customHeight="true" outlineLevel="0" collapsed="false">
      <c r="A143" s="33"/>
      <c r="B143" s="33"/>
      <c r="C143" s="33"/>
      <c r="D143" s="33"/>
      <c r="E143" s="33"/>
      <c r="F143" s="33"/>
      <c r="G143" s="33"/>
      <c r="H143" s="33"/>
      <c r="I143" s="33"/>
      <c r="J143" s="34"/>
      <c r="K143" s="33"/>
      <c r="L143" s="33"/>
      <c r="M143" s="35"/>
      <c r="N143" s="35"/>
      <c r="O143" s="33"/>
      <c r="P143" s="33"/>
      <c r="Q143" s="33"/>
      <c r="R143" s="36"/>
      <c r="S143" s="37" t="str">
        <f aca="false">IF(OR($M143="",$R143=""),"",$M143*$R143)</f>
        <v/>
      </c>
      <c r="T143" s="36"/>
      <c r="U143" s="38"/>
      <c r="V143" s="39"/>
      <c r="W143" s="37" t="str">
        <f aca="false">IF(OR($T143="",$U143="",$V143=""),"",$T143*(1-$U143)*$V143)</f>
        <v/>
      </c>
      <c r="X143" s="37" t="str">
        <f aca="false">IF(OR($N143="",$W143=""),"",$N143*$W143)</f>
        <v/>
      </c>
      <c r="Y143" s="37" t="str">
        <f aca="false">IF($S143="","",$S143+IF($X143="",0,$X143))</f>
        <v/>
      </c>
      <c r="Z143" s="33"/>
      <c r="AA143" s="33"/>
      <c r="AB143" s="34"/>
      <c r="AC143" s="34"/>
      <c r="AD143" s="40" t="str">
        <f aca="false">IF($AC143="","",$AC143+365)</f>
        <v/>
      </c>
      <c r="AE143" s="16" t="str">
        <f aca="false">IF($AD143="","",$AD143-$B$3)</f>
        <v/>
      </c>
      <c r="AF143" s="36"/>
      <c r="AG143" s="37" t="str">
        <f aca="false">IF(OR($Y143="",$AF143=""),"",$Y143-$AF143)</f>
        <v/>
      </c>
      <c r="AH143" s="33"/>
    </row>
    <row r="144" customFormat="false" ht="15" hidden="false" customHeight="true" outlineLevel="0" collapsed="false">
      <c r="A144" s="33"/>
      <c r="B144" s="33"/>
      <c r="C144" s="33"/>
      <c r="D144" s="33"/>
      <c r="E144" s="33"/>
      <c r="F144" s="33"/>
      <c r="G144" s="33"/>
      <c r="H144" s="33"/>
      <c r="I144" s="33"/>
      <c r="J144" s="34"/>
      <c r="K144" s="33"/>
      <c r="L144" s="33"/>
      <c r="M144" s="35"/>
      <c r="N144" s="35"/>
      <c r="O144" s="33"/>
      <c r="P144" s="33"/>
      <c r="Q144" s="33"/>
      <c r="R144" s="36"/>
      <c r="S144" s="37" t="str">
        <f aca="false">IF(OR($M144="",$R144=""),"",$M144*$R144)</f>
        <v/>
      </c>
      <c r="T144" s="36"/>
      <c r="U144" s="38"/>
      <c r="V144" s="39"/>
      <c r="W144" s="37" t="str">
        <f aca="false">IF(OR($T144="",$U144="",$V144=""),"",$T144*(1-$U144)*$V144)</f>
        <v/>
      </c>
      <c r="X144" s="37" t="str">
        <f aca="false">IF(OR($N144="",$W144=""),"",$N144*$W144)</f>
        <v/>
      </c>
      <c r="Y144" s="37" t="str">
        <f aca="false">IF($S144="","",$S144+IF($X144="",0,$X144))</f>
        <v/>
      </c>
      <c r="Z144" s="33"/>
      <c r="AA144" s="33"/>
      <c r="AB144" s="34"/>
      <c r="AC144" s="34"/>
      <c r="AD144" s="40" t="str">
        <f aca="false">IF($AC144="","",$AC144+365)</f>
        <v/>
      </c>
      <c r="AE144" s="16" t="str">
        <f aca="false">IF($AD144="","",$AD144-$B$3)</f>
        <v/>
      </c>
      <c r="AF144" s="36"/>
      <c r="AG144" s="37" t="str">
        <f aca="false">IF(OR($Y144="",$AF144=""),"",$Y144-$AF144)</f>
        <v/>
      </c>
      <c r="AH144" s="33"/>
    </row>
    <row r="145" customFormat="false" ht="15" hidden="false" customHeight="true" outlineLevel="0" collapsed="false">
      <c r="A145" s="33"/>
      <c r="B145" s="33"/>
      <c r="C145" s="33"/>
      <c r="D145" s="33"/>
      <c r="E145" s="33"/>
      <c r="F145" s="33"/>
      <c r="G145" s="33"/>
      <c r="H145" s="33"/>
      <c r="I145" s="33"/>
      <c r="J145" s="34"/>
      <c r="K145" s="33"/>
      <c r="L145" s="33"/>
      <c r="M145" s="35"/>
      <c r="N145" s="35"/>
      <c r="O145" s="33"/>
      <c r="P145" s="33"/>
      <c r="Q145" s="33"/>
      <c r="R145" s="36"/>
      <c r="S145" s="37" t="str">
        <f aca="false">IF(OR($M145="",$R145=""),"",$M145*$R145)</f>
        <v/>
      </c>
      <c r="T145" s="36"/>
      <c r="U145" s="38"/>
      <c r="V145" s="39"/>
      <c r="W145" s="37" t="str">
        <f aca="false">IF(OR($T145="",$U145="",$V145=""),"",$T145*(1-$U145)*$V145)</f>
        <v/>
      </c>
      <c r="X145" s="37" t="str">
        <f aca="false">IF(OR($N145="",$W145=""),"",$N145*$W145)</f>
        <v/>
      </c>
      <c r="Y145" s="37" t="str">
        <f aca="false">IF($S145="","",$S145+IF($X145="",0,$X145))</f>
        <v/>
      </c>
      <c r="Z145" s="33"/>
      <c r="AA145" s="33"/>
      <c r="AB145" s="34"/>
      <c r="AC145" s="34"/>
      <c r="AD145" s="40" t="str">
        <f aca="false">IF($AC145="","",$AC145+365)</f>
        <v/>
      </c>
      <c r="AE145" s="16" t="str">
        <f aca="false">IF($AD145="","",$AD145-$B$3)</f>
        <v/>
      </c>
      <c r="AF145" s="36"/>
      <c r="AG145" s="37" t="str">
        <f aca="false">IF(OR($Y145="",$AF145=""),"",$Y145-$AF145)</f>
        <v/>
      </c>
      <c r="AH145" s="33"/>
    </row>
    <row r="146" customFormat="false" ht="15" hidden="false" customHeight="true" outlineLevel="0" collapsed="false">
      <c r="A146" s="33"/>
      <c r="B146" s="33"/>
      <c r="C146" s="33"/>
      <c r="D146" s="33"/>
      <c r="E146" s="33"/>
      <c r="F146" s="33"/>
      <c r="G146" s="33"/>
      <c r="H146" s="33"/>
      <c r="I146" s="33"/>
      <c r="J146" s="34"/>
      <c r="K146" s="33"/>
      <c r="L146" s="33"/>
      <c r="M146" s="35"/>
      <c r="N146" s="35"/>
      <c r="O146" s="33"/>
      <c r="P146" s="33"/>
      <c r="Q146" s="33"/>
      <c r="R146" s="36"/>
      <c r="S146" s="37" t="str">
        <f aca="false">IF(OR($M146="",$R146=""),"",$M146*$R146)</f>
        <v/>
      </c>
      <c r="T146" s="36"/>
      <c r="U146" s="38"/>
      <c r="V146" s="39"/>
      <c r="W146" s="37" t="str">
        <f aca="false">IF(OR($T146="",$U146="",$V146=""),"",$T146*(1-$U146)*$V146)</f>
        <v/>
      </c>
      <c r="X146" s="37" t="str">
        <f aca="false">IF(OR($N146="",$W146=""),"",$N146*$W146)</f>
        <v/>
      </c>
      <c r="Y146" s="37" t="str">
        <f aca="false">IF($S146="","",$S146+IF($X146="",0,$X146))</f>
        <v/>
      </c>
      <c r="Z146" s="33"/>
      <c r="AA146" s="33"/>
      <c r="AB146" s="34"/>
      <c r="AC146" s="34"/>
      <c r="AD146" s="40" t="str">
        <f aca="false">IF($AC146="","",$AC146+365)</f>
        <v/>
      </c>
      <c r="AE146" s="16" t="str">
        <f aca="false">IF($AD146="","",$AD146-$B$3)</f>
        <v/>
      </c>
      <c r="AF146" s="36"/>
      <c r="AG146" s="37" t="str">
        <f aca="false">IF(OR($Y146="",$AF146=""),"",$Y146-$AF146)</f>
        <v/>
      </c>
      <c r="AH146" s="33"/>
    </row>
    <row r="147" customFormat="false" ht="15" hidden="false" customHeight="true" outlineLevel="0" collapsed="false">
      <c r="A147" s="33"/>
      <c r="B147" s="33"/>
      <c r="C147" s="33"/>
      <c r="D147" s="33"/>
      <c r="E147" s="33"/>
      <c r="F147" s="33"/>
      <c r="G147" s="33"/>
      <c r="H147" s="33"/>
      <c r="I147" s="33"/>
      <c r="J147" s="34"/>
      <c r="K147" s="33"/>
      <c r="L147" s="33"/>
      <c r="M147" s="35"/>
      <c r="N147" s="35"/>
      <c r="O147" s="33"/>
      <c r="P147" s="33"/>
      <c r="Q147" s="33"/>
      <c r="R147" s="36"/>
      <c r="S147" s="37" t="str">
        <f aca="false">IF(OR($M147="",$R147=""),"",$M147*$R147)</f>
        <v/>
      </c>
      <c r="T147" s="36"/>
      <c r="U147" s="38"/>
      <c r="V147" s="39"/>
      <c r="W147" s="37" t="str">
        <f aca="false">IF(OR($T147="",$U147="",$V147=""),"",$T147*(1-$U147)*$V147)</f>
        <v/>
      </c>
      <c r="X147" s="37" t="str">
        <f aca="false">IF(OR($N147="",$W147=""),"",$N147*$W147)</f>
        <v/>
      </c>
      <c r="Y147" s="37" t="str">
        <f aca="false">IF($S147="","",$S147+IF($X147="",0,$X147))</f>
        <v/>
      </c>
      <c r="Z147" s="33"/>
      <c r="AA147" s="33"/>
      <c r="AB147" s="34"/>
      <c r="AC147" s="34"/>
      <c r="AD147" s="40" t="str">
        <f aca="false">IF($AC147="","",$AC147+365)</f>
        <v/>
      </c>
      <c r="AE147" s="16" t="str">
        <f aca="false">IF($AD147="","",$AD147-$B$3)</f>
        <v/>
      </c>
      <c r="AF147" s="36"/>
      <c r="AG147" s="37" t="str">
        <f aca="false">IF(OR($Y147="",$AF147=""),"",$Y147-$AF147)</f>
        <v/>
      </c>
      <c r="AH147" s="33"/>
    </row>
    <row r="148" customFormat="false" ht="15" hidden="false" customHeight="true" outlineLevel="0" collapsed="false">
      <c r="A148" s="33"/>
      <c r="B148" s="33"/>
      <c r="C148" s="33"/>
      <c r="D148" s="33"/>
      <c r="E148" s="33"/>
      <c r="F148" s="33"/>
      <c r="G148" s="33"/>
      <c r="H148" s="33"/>
      <c r="I148" s="33"/>
      <c r="J148" s="34"/>
      <c r="K148" s="33"/>
      <c r="L148" s="33"/>
      <c r="M148" s="35"/>
      <c r="N148" s="35"/>
      <c r="O148" s="33"/>
      <c r="P148" s="33"/>
      <c r="Q148" s="33"/>
      <c r="R148" s="36"/>
      <c r="S148" s="37" t="str">
        <f aca="false">IF(OR($M148="",$R148=""),"",$M148*$R148)</f>
        <v/>
      </c>
      <c r="T148" s="36"/>
      <c r="U148" s="38"/>
      <c r="V148" s="39"/>
      <c r="W148" s="37" t="str">
        <f aca="false">IF(OR($T148="",$U148="",$V148=""),"",$T148*(1-$U148)*$V148)</f>
        <v/>
      </c>
      <c r="X148" s="37" t="str">
        <f aca="false">IF(OR($N148="",$W148=""),"",$N148*$W148)</f>
        <v/>
      </c>
      <c r="Y148" s="37" t="str">
        <f aca="false">IF($S148="","",$S148+IF($X148="",0,$X148))</f>
        <v/>
      </c>
      <c r="Z148" s="33"/>
      <c r="AA148" s="33"/>
      <c r="AB148" s="34"/>
      <c r="AC148" s="34"/>
      <c r="AD148" s="40" t="str">
        <f aca="false">IF($AC148="","",$AC148+365)</f>
        <v/>
      </c>
      <c r="AE148" s="16" t="str">
        <f aca="false">IF($AD148="","",$AD148-$B$3)</f>
        <v/>
      </c>
      <c r="AF148" s="36"/>
      <c r="AG148" s="37" t="str">
        <f aca="false">IF(OR($Y148="",$AF148=""),"",$Y148-$AF148)</f>
        <v/>
      </c>
      <c r="AH148" s="33"/>
    </row>
    <row r="149" customFormat="false" ht="15" hidden="false" customHeight="true" outlineLevel="0" collapsed="false">
      <c r="A149" s="33"/>
      <c r="B149" s="33"/>
      <c r="C149" s="33"/>
      <c r="D149" s="33"/>
      <c r="E149" s="33"/>
      <c r="F149" s="33"/>
      <c r="G149" s="33"/>
      <c r="H149" s="33"/>
      <c r="I149" s="33"/>
      <c r="J149" s="34"/>
      <c r="K149" s="33"/>
      <c r="L149" s="33"/>
      <c r="M149" s="35"/>
      <c r="N149" s="35"/>
      <c r="O149" s="33"/>
      <c r="P149" s="33"/>
      <c r="Q149" s="33"/>
      <c r="R149" s="36"/>
      <c r="S149" s="37" t="str">
        <f aca="false">IF(OR($M149="",$R149=""),"",$M149*$R149)</f>
        <v/>
      </c>
      <c r="T149" s="36"/>
      <c r="U149" s="38"/>
      <c r="V149" s="39"/>
      <c r="W149" s="37" t="str">
        <f aca="false">IF(OR($T149="",$U149="",$V149=""),"",$T149*(1-$U149)*$V149)</f>
        <v/>
      </c>
      <c r="X149" s="37" t="str">
        <f aca="false">IF(OR($N149="",$W149=""),"",$N149*$W149)</f>
        <v/>
      </c>
      <c r="Y149" s="37" t="str">
        <f aca="false">IF($S149="","",$S149+IF($X149="",0,$X149))</f>
        <v/>
      </c>
      <c r="Z149" s="33"/>
      <c r="AA149" s="33"/>
      <c r="AB149" s="34"/>
      <c r="AC149" s="34"/>
      <c r="AD149" s="40" t="str">
        <f aca="false">IF($AC149="","",$AC149+365)</f>
        <v/>
      </c>
      <c r="AE149" s="16" t="str">
        <f aca="false">IF($AD149="","",$AD149-$B$3)</f>
        <v/>
      </c>
      <c r="AF149" s="36"/>
      <c r="AG149" s="37" t="str">
        <f aca="false">IF(OR($Y149="",$AF149=""),"",$Y149-$AF149)</f>
        <v/>
      </c>
      <c r="AH149" s="33"/>
    </row>
    <row r="150" customFormat="false" ht="15" hidden="false" customHeight="true" outlineLevel="0" collapsed="false">
      <c r="A150" s="33"/>
      <c r="B150" s="33"/>
      <c r="C150" s="33"/>
      <c r="D150" s="33"/>
      <c r="E150" s="33"/>
      <c r="F150" s="33"/>
      <c r="G150" s="33"/>
      <c r="H150" s="33"/>
      <c r="I150" s="33"/>
      <c r="J150" s="34"/>
      <c r="K150" s="33"/>
      <c r="L150" s="33"/>
      <c r="M150" s="35"/>
      <c r="N150" s="35"/>
      <c r="O150" s="33"/>
      <c r="P150" s="33"/>
      <c r="Q150" s="33"/>
      <c r="R150" s="36"/>
      <c r="S150" s="37" t="str">
        <f aca="false">IF(OR($M150="",$R150=""),"",$M150*$R150)</f>
        <v/>
      </c>
      <c r="T150" s="36"/>
      <c r="U150" s="38"/>
      <c r="V150" s="39"/>
      <c r="W150" s="37" t="str">
        <f aca="false">IF(OR($T150="",$U150="",$V150=""),"",$T150*(1-$U150)*$V150)</f>
        <v/>
      </c>
      <c r="X150" s="37" t="str">
        <f aca="false">IF(OR($N150="",$W150=""),"",$N150*$W150)</f>
        <v/>
      </c>
      <c r="Y150" s="37" t="str">
        <f aca="false">IF($S150="","",$S150+IF($X150="",0,$X150))</f>
        <v/>
      </c>
      <c r="Z150" s="33"/>
      <c r="AA150" s="33"/>
      <c r="AB150" s="34"/>
      <c r="AC150" s="34"/>
      <c r="AD150" s="40" t="str">
        <f aca="false">IF($AC150="","",$AC150+365)</f>
        <v/>
      </c>
      <c r="AE150" s="16" t="str">
        <f aca="false">IF($AD150="","",$AD150-$B$3)</f>
        <v/>
      </c>
      <c r="AF150" s="36"/>
      <c r="AG150" s="37" t="str">
        <f aca="false">IF(OR($Y150="",$AF150=""),"",$Y150-$AF150)</f>
        <v/>
      </c>
      <c r="AH150" s="33"/>
    </row>
    <row r="151" customFormat="false" ht="15" hidden="false" customHeight="true" outlineLevel="0" collapsed="false">
      <c r="A151" s="33"/>
      <c r="B151" s="33"/>
      <c r="C151" s="33"/>
      <c r="D151" s="33"/>
      <c r="E151" s="33"/>
      <c r="F151" s="33"/>
      <c r="G151" s="33"/>
      <c r="H151" s="33"/>
      <c r="I151" s="33"/>
      <c r="J151" s="34"/>
      <c r="K151" s="33"/>
      <c r="L151" s="33"/>
      <c r="M151" s="35"/>
      <c r="N151" s="35"/>
      <c r="O151" s="33"/>
      <c r="P151" s="33"/>
      <c r="Q151" s="33"/>
      <c r="R151" s="36"/>
      <c r="S151" s="37" t="str">
        <f aca="false">IF(OR($M151="",$R151=""),"",$M151*$R151)</f>
        <v/>
      </c>
      <c r="T151" s="36"/>
      <c r="U151" s="38"/>
      <c r="V151" s="39"/>
      <c r="W151" s="37" t="str">
        <f aca="false">IF(OR($T151="",$U151="",$V151=""),"",$T151*(1-$U151)*$V151)</f>
        <v/>
      </c>
      <c r="X151" s="37" t="str">
        <f aca="false">IF(OR($N151="",$W151=""),"",$N151*$W151)</f>
        <v/>
      </c>
      <c r="Y151" s="37" t="str">
        <f aca="false">IF($S151="","",$S151+IF($X151="",0,$X151))</f>
        <v/>
      </c>
      <c r="Z151" s="33"/>
      <c r="AA151" s="33"/>
      <c r="AB151" s="34"/>
      <c r="AC151" s="34"/>
      <c r="AD151" s="40" t="str">
        <f aca="false">IF($AC151="","",$AC151+365)</f>
        <v/>
      </c>
      <c r="AE151" s="16" t="str">
        <f aca="false">IF($AD151="","",$AD151-$B$3)</f>
        <v/>
      </c>
      <c r="AF151" s="36"/>
      <c r="AG151" s="37" t="str">
        <f aca="false">IF(OR($Y151="",$AF151=""),"",$Y151-$AF151)</f>
        <v/>
      </c>
      <c r="AH151" s="33"/>
    </row>
    <row r="152" customFormat="false" ht="15" hidden="false" customHeight="true" outlineLevel="0" collapsed="false">
      <c r="A152" s="33"/>
      <c r="B152" s="33"/>
      <c r="C152" s="33"/>
      <c r="D152" s="33"/>
      <c r="E152" s="33"/>
      <c r="F152" s="33"/>
      <c r="G152" s="33"/>
      <c r="H152" s="33"/>
      <c r="I152" s="33"/>
      <c r="J152" s="34"/>
      <c r="K152" s="33"/>
      <c r="L152" s="33"/>
      <c r="M152" s="35"/>
      <c r="N152" s="35"/>
      <c r="O152" s="33"/>
      <c r="P152" s="33"/>
      <c r="Q152" s="33"/>
      <c r="R152" s="36"/>
      <c r="S152" s="37" t="str">
        <f aca="false">IF(OR($M152="",$R152=""),"",$M152*$R152)</f>
        <v/>
      </c>
      <c r="T152" s="36"/>
      <c r="U152" s="38"/>
      <c r="V152" s="39"/>
      <c r="W152" s="37" t="str">
        <f aca="false">IF(OR($T152="",$U152="",$V152=""),"",$T152*(1-$U152)*$V152)</f>
        <v/>
      </c>
      <c r="X152" s="37" t="str">
        <f aca="false">IF(OR($N152="",$W152=""),"",$N152*$W152)</f>
        <v/>
      </c>
      <c r="Y152" s="37" t="str">
        <f aca="false">IF($S152="","",$S152+IF($X152="",0,$X152))</f>
        <v/>
      </c>
      <c r="Z152" s="33"/>
      <c r="AA152" s="33"/>
      <c r="AB152" s="34"/>
      <c r="AC152" s="34"/>
      <c r="AD152" s="40" t="str">
        <f aca="false">IF($AC152="","",$AC152+365)</f>
        <v/>
      </c>
      <c r="AE152" s="16" t="str">
        <f aca="false">IF($AD152="","",$AD152-$B$3)</f>
        <v/>
      </c>
      <c r="AF152" s="36"/>
      <c r="AG152" s="37" t="str">
        <f aca="false">IF(OR($Y152="",$AF152=""),"",$Y152-$AF152)</f>
        <v/>
      </c>
      <c r="AH152" s="33"/>
    </row>
    <row r="153" customFormat="false" ht="15" hidden="false" customHeight="true" outlineLevel="0" collapsed="false">
      <c r="A153" s="33"/>
      <c r="B153" s="33"/>
      <c r="C153" s="33"/>
      <c r="D153" s="33"/>
      <c r="E153" s="33"/>
      <c r="F153" s="33"/>
      <c r="G153" s="33"/>
      <c r="H153" s="33"/>
      <c r="I153" s="33"/>
      <c r="J153" s="34"/>
      <c r="K153" s="33"/>
      <c r="L153" s="33"/>
      <c r="M153" s="35"/>
      <c r="N153" s="35"/>
      <c r="O153" s="33"/>
      <c r="P153" s="33"/>
      <c r="Q153" s="33"/>
      <c r="R153" s="36"/>
      <c r="S153" s="37" t="str">
        <f aca="false">IF(OR($M153="",$R153=""),"",$M153*$R153)</f>
        <v/>
      </c>
      <c r="T153" s="36"/>
      <c r="U153" s="38"/>
      <c r="V153" s="39"/>
      <c r="W153" s="37" t="str">
        <f aca="false">IF(OR($T153="",$U153="",$V153=""),"",$T153*(1-$U153)*$V153)</f>
        <v/>
      </c>
      <c r="X153" s="37" t="str">
        <f aca="false">IF(OR($N153="",$W153=""),"",$N153*$W153)</f>
        <v/>
      </c>
      <c r="Y153" s="37" t="str">
        <f aca="false">IF($S153="","",$S153+IF($X153="",0,$X153))</f>
        <v/>
      </c>
      <c r="Z153" s="33"/>
      <c r="AA153" s="33"/>
      <c r="AB153" s="34"/>
      <c r="AC153" s="34"/>
      <c r="AD153" s="40" t="str">
        <f aca="false">IF($AC153="","",$AC153+365)</f>
        <v/>
      </c>
      <c r="AE153" s="16" t="str">
        <f aca="false">IF($AD153="","",$AD153-$B$3)</f>
        <v/>
      </c>
      <c r="AF153" s="36"/>
      <c r="AG153" s="37" t="str">
        <f aca="false">IF(OR($Y153="",$AF153=""),"",$Y153-$AF153)</f>
        <v/>
      </c>
      <c r="AH153" s="33"/>
    </row>
    <row r="154" customFormat="false" ht="15" hidden="false" customHeight="true" outlineLevel="0" collapsed="false">
      <c r="A154" s="33"/>
      <c r="B154" s="33"/>
      <c r="C154" s="33"/>
      <c r="D154" s="33"/>
      <c r="E154" s="33"/>
      <c r="F154" s="33"/>
      <c r="G154" s="33"/>
      <c r="H154" s="33"/>
      <c r="I154" s="33"/>
      <c r="J154" s="34"/>
      <c r="K154" s="33"/>
      <c r="L154" s="33"/>
      <c r="M154" s="35"/>
      <c r="N154" s="35"/>
      <c r="O154" s="33"/>
      <c r="P154" s="33"/>
      <c r="Q154" s="33"/>
      <c r="R154" s="36"/>
      <c r="S154" s="37" t="str">
        <f aca="false">IF(OR($M154="",$R154=""),"",$M154*$R154)</f>
        <v/>
      </c>
      <c r="T154" s="36"/>
      <c r="U154" s="38"/>
      <c r="V154" s="39"/>
      <c r="W154" s="37" t="str">
        <f aca="false">IF(OR($T154="",$U154="",$V154=""),"",$T154*(1-$U154)*$V154)</f>
        <v/>
      </c>
      <c r="X154" s="37" t="str">
        <f aca="false">IF(OR($N154="",$W154=""),"",$N154*$W154)</f>
        <v/>
      </c>
      <c r="Y154" s="37" t="str">
        <f aca="false">IF($S154="","",$S154+IF($X154="",0,$X154))</f>
        <v/>
      </c>
      <c r="Z154" s="33"/>
      <c r="AA154" s="33"/>
      <c r="AB154" s="34"/>
      <c r="AC154" s="34"/>
      <c r="AD154" s="40" t="str">
        <f aca="false">IF($AC154="","",$AC154+365)</f>
        <v/>
      </c>
      <c r="AE154" s="16" t="str">
        <f aca="false">IF($AD154="","",$AD154-$B$3)</f>
        <v/>
      </c>
      <c r="AF154" s="36"/>
      <c r="AG154" s="37" t="str">
        <f aca="false">IF(OR($Y154="",$AF154=""),"",$Y154-$AF154)</f>
        <v/>
      </c>
      <c r="AH154" s="33"/>
    </row>
    <row r="155" customFormat="false" ht="15" hidden="false" customHeight="true" outlineLevel="0" collapsed="false">
      <c r="A155" s="33"/>
      <c r="B155" s="33"/>
      <c r="C155" s="33"/>
      <c r="D155" s="33"/>
      <c r="E155" s="33"/>
      <c r="F155" s="33"/>
      <c r="G155" s="33"/>
      <c r="H155" s="33"/>
      <c r="I155" s="33"/>
      <c r="J155" s="34"/>
      <c r="K155" s="33"/>
      <c r="L155" s="33"/>
      <c r="M155" s="35"/>
      <c r="N155" s="35"/>
      <c r="O155" s="33"/>
      <c r="P155" s="33"/>
      <c r="Q155" s="33"/>
      <c r="R155" s="36"/>
      <c r="S155" s="37" t="str">
        <f aca="false">IF(OR($M155="",$R155=""),"",$M155*$R155)</f>
        <v/>
      </c>
      <c r="T155" s="36"/>
      <c r="U155" s="38"/>
      <c r="V155" s="39"/>
      <c r="W155" s="37" t="str">
        <f aca="false">IF(OR($T155="",$U155="",$V155=""),"",$T155*(1-$U155)*$V155)</f>
        <v/>
      </c>
      <c r="X155" s="37" t="str">
        <f aca="false">IF(OR($N155="",$W155=""),"",$N155*$W155)</f>
        <v/>
      </c>
      <c r="Y155" s="37" t="str">
        <f aca="false">IF($S155="","",$S155+IF($X155="",0,$X155))</f>
        <v/>
      </c>
      <c r="Z155" s="33"/>
      <c r="AA155" s="33"/>
      <c r="AB155" s="34"/>
      <c r="AC155" s="34"/>
      <c r="AD155" s="40" t="str">
        <f aca="false">IF($AC155="","",$AC155+365)</f>
        <v/>
      </c>
      <c r="AE155" s="16" t="str">
        <f aca="false">IF($AD155="","",$AD155-$B$3)</f>
        <v/>
      </c>
      <c r="AF155" s="36"/>
      <c r="AG155" s="37" t="str">
        <f aca="false">IF(OR($Y155="",$AF155=""),"",$Y155-$AF155)</f>
        <v/>
      </c>
      <c r="AH155" s="33"/>
    </row>
    <row r="156" customFormat="false" ht="15" hidden="false" customHeight="true" outlineLevel="0" collapsed="false">
      <c r="A156" s="33"/>
      <c r="B156" s="33"/>
      <c r="C156" s="33"/>
      <c r="D156" s="33"/>
      <c r="E156" s="33"/>
      <c r="F156" s="33"/>
      <c r="G156" s="33"/>
      <c r="H156" s="33"/>
      <c r="I156" s="33"/>
      <c r="J156" s="34"/>
      <c r="K156" s="33"/>
      <c r="L156" s="33"/>
      <c r="M156" s="35"/>
      <c r="N156" s="35"/>
      <c r="O156" s="33"/>
      <c r="P156" s="33"/>
      <c r="Q156" s="33"/>
      <c r="R156" s="36"/>
      <c r="S156" s="37" t="str">
        <f aca="false">IF(OR($M156="",$R156=""),"",$M156*$R156)</f>
        <v/>
      </c>
      <c r="T156" s="36"/>
      <c r="U156" s="38"/>
      <c r="V156" s="39"/>
      <c r="W156" s="37" t="str">
        <f aca="false">IF(OR($T156="",$U156="",$V156=""),"",$T156*(1-$U156)*$V156)</f>
        <v/>
      </c>
      <c r="X156" s="37" t="str">
        <f aca="false">IF(OR($N156="",$W156=""),"",$N156*$W156)</f>
        <v/>
      </c>
      <c r="Y156" s="37" t="str">
        <f aca="false">IF($S156="","",$S156+IF($X156="",0,$X156))</f>
        <v/>
      </c>
      <c r="Z156" s="33"/>
      <c r="AA156" s="33"/>
      <c r="AB156" s="34"/>
      <c r="AC156" s="34"/>
      <c r="AD156" s="40" t="str">
        <f aca="false">IF($AC156="","",$AC156+365)</f>
        <v/>
      </c>
      <c r="AE156" s="16" t="str">
        <f aca="false">IF($AD156="","",$AD156-$B$3)</f>
        <v/>
      </c>
      <c r="AF156" s="36"/>
      <c r="AG156" s="37" t="str">
        <f aca="false">IF(OR($Y156="",$AF156=""),"",$Y156-$AF156)</f>
        <v/>
      </c>
      <c r="AH156" s="33"/>
    </row>
    <row r="157" customFormat="false" ht="15" hidden="false" customHeight="true" outlineLevel="0" collapsed="false">
      <c r="A157" s="33"/>
      <c r="B157" s="33"/>
      <c r="C157" s="33"/>
      <c r="D157" s="33"/>
      <c r="E157" s="33"/>
      <c r="F157" s="33"/>
      <c r="G157" s="33"/>
      <c r="H157" s="33"/>
      <c r="I157" s="33"/>
      <c r="J157" s="34"/>
      <c r="K157" s="33"/>
      <c r="L157" s="33"/>
      <c r="M157" s="35"/>
      <c r="N157" s="35"/>
      <c r="O157" s="33"/>
      <c r="P157" s="33"/>
      <c r="Q157" s="33"/>
      <c r="R157" s="36"/>
      <c r="S157" s="37" t="str">
        <f aca="false">IF(OR($M157="",$R157=""),"",$M157*$R157)</f>
        <v/>
      </c>
      <c r="T157" s="36"/>
      <c r="U157" s="38"/>
      <c r="V157" s="39"/>
      <c r="W157" s="37" t="str">
        <f aca="false">IF(OR($T157="",$U157="",$V157=""),"",$T157*(1-$U157)*$V157)</f>
        <v/>
      </c>
      <c r="X157" s="37" t="str">
        <f aca="false">IF(OR($N157="",$W157=""),"",$N157*$W157)</f>
        <v/>
      </c>
      <c r="Y157" s="37" t="str">
        <f aca="false">IF($S157="","",$S157+IF($X157="",0,$X157))</f>
        <v/>
      </c>
      <c r="Z157" s="33"/>
      <c r="AA157" s="33"/>
      <c r="AB157" s="34"/>
      <c r="AC157" s="34"/>
      <c r="AD157" s="40" t="str">
        <f aca="false">IF($AC157="","",$AC157+365)</f>
        <v/>
      </c>
      <c r="AE157" s="16" t="str">
        <f aca="false">IF($AD157="","",$AD157-$B$3)</f>
        <v/>
      </c>
      <c r="AF157" s="36"/>
      <c r="AG157" s="37" t="str">
        <f aca="false">IF(OR($Y157="",$AF157=""),"",$Y157-$AF157)</f>
        <v/>
      </c>
      <c r="AH157" s="33"/>
    </row>
  </sheetData>
  <mergeCells count="2">
    <mergeCell ref="A1:AH1"/>
    <mergeCell ref="A2:AH2"/>
  </mergeCells>
  <dataValidations count="3">
    <dataValidation allowBlank="true" error="Seleccione un valor de la lista desplegable." errorStyle="stop" errorTitle="Valor no permitido" operator="between" showDropDown="false" showErrorMessage="true" showInputMessage="false" sqref="C7:C157" type="list">
      <formula1>"URBANO,RURAL"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L7:L157" type="list">
      <formula1>"LEGALIZADO,EN_TRAMITE,SIN_TITULO"</formula1>
      <formula2>0</formula2>
    </dataValidation>
    <dataValidation allowBlank="true" error="Seleccione un valor de la lista desplegable." errorStyle="stop" errorTitle="Valor no permitido" operator="between" showDropDown="false" showErrorMessage="true" showInputMessage="false" sqref="Q7:Q157" type="list">
      <formula1>"1_NUEVO,2_BUENO,3_REGULAR,4_DEFICIENTE,5_INSERVIBLE"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2026-08-24T21:33:59Z</dcterms:created>
  <dc:creator>openpyxl</dc:creator>
  <dc:description/>
  <dc:language>en-US</dc:language>
  <cp:lastModifiedBy/>
  <dcterms:modified xsi:type="dcterms:W3CDTF">2026-08-24T21:35:07Z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